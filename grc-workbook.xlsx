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🔵 NIST 800-53" sheetId="2" state="visible" r:id="rId4"/>
    <sheet name="🟢 ISO 27001" sheetId="3" state="visible" r:id="rId5"/>
    <sheet name="🟣 SOC 2" sheetId="4" state="visible" r:id="rId6"/>
    <sheet name="🔴 Risk Register" sheetId="5" state="visible" r:id="rId7"/>
    <sheet name="🚨 Incident Log" sheetId="6" state="visible" r:id="rId8"/>
    <sheet name="🔧 Remediation" sheetId="7" state="visible" r:id="rId9"/>
    <sheet name="📋 Audit Schedule" sheetId="8" state="visible" r:id="rId10"/>
    <sheet name="🔗 Lab Evidence Map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<sst xmlns="http://schemas.openxmlformats.org/spreadsheetml/2006/main" count="2007" uniqueCount="984">
  <si>
    <t xml:space="preserve">🛡️  GRC COMMAND CENTER — binette87  |  Cybersecurity Portfolio</t>
  </si>
  <si>
    <t xml:space="preserve">NIST 800-53 Rev 5  ·  ISO 27001:2022  ·  SOC 2  |  Source: github.com/binette87/Foundations_Lab_Final</t>
  </si>
  <si>
    <t xml:space="preserve">NIST 800-53
67%  (28/42 controls)</t>
  </si>
  <si>
    <t xml:space="preserve">ISO 27001
69%  (24/35 controls)</t>
  </si>
  <si>
    <t xml:space="preserve">SOC 2
70%  (21/30 controls)</t>
  </si>
  <si>
    <t xml:space="preserve">Open Risks
15  (8 High+)</t>
  </si>
  <si>
    <t xml:space="preserve">Incidents YTD
10  (All Closed)</t>
  </si>
  <si>
    <t xml:space="preserve">COMPLIANCE POSTURE SUMMARY</t>
  </si>
  <si>
    <t xml:space="preserve">Framework</t>
  </si>
  <si>
    <t xml:space="preserve">Version</t>
  </si>
  <si>
    <t xml:space="preserve">Assessed</t>
  </si>
  <si>
    <t xml:space="preserve">Implemented</t>
  </si>
  <si>
    <t xml:space="preserve">Partial</t>
  </si>
  <si>
    <t xml:space="preserve">Not Implemented</t>
  </si>
  <si>
    <t xml:space="preserve">Score %</t>
  </si>
  <si>
    <t xml:space="preserve">Target %</t>
  </si>
  <si>
    <t xml:space="preserve">Gap</t>
  </si>
  <si>
    <t xml:space="preserve">Status</t>
  </si>
  <si>
    <t xml:space="preserve">NIST SP 800-53</t>
  </si>
  <si>
    <t xml:space="preserve">Rev 5 Moderate</t>
  </si>
  <si>
    <t xml:space="preserve">In Progress</t>
  </si>
  <si>
    <t xml:space="preserve">ISO 27001</t>
  </si>
  <si>
    <t xml:space="preserve">2022 Annex A</t>
  </si>
  <si>
    <t xml:space="preserve">SOC 2</t>
  </si>
  <si>
    <t xml:space="preserve">Trust Svc Criteria</t>
  </si>
  <si>
    <t xml:space="preserve">SECURITY DOMAIN SCORES</t>
  </si>
  <si>
    <t xml:space="preserve">Security Domain</t>
  </si>
  <si>
    <t xml:space="preserve">Score</t>
  </si>
  <si>
    <t xml:space="preserve">Grade</t>
  </si>
  <si>
    <t xml:space="preserve">Primary Strength</t>
  </si>
  <si>
    <t xml:space="preserve">Key Gap</t>
  </si>
  <si>
    <t xml:space="preserve">Incident Response &amp; Forensics</t>
  </si>
  <si>
    <t xml:space="preserve">90%</t>
  </si>
  <si>
    <t xml:space="preserve">A</t>
  </si>
  <si>
    <t xml:space="preserve">Full IR lifecycle, forensics, purple team ops</t>
  </si>
  <si>
    <t xml:space="preserve">No SOAR integration</t>
  </si>
  <si>
    <t xml:space="preserve">Access Control &amp; Identity</t>
  </si>
  <si>
    <t xml:space="preserve">85%</t>
  </si>
  <si>
    <t xml:space="preserve">AD + GPO + Kerberos + brute-force detection</t>
  </si>
  <si>
    <t xml:space="preserve">MFA not implemented</t>
  </si>
  <si>
    <t xml:space="preserve">Monitoring &amp; Detection</t>
  </si>
  <si>
    <t xml:space="preserve">82%</t>
  </si>
  <si>
    <t xml:space="preserve">B+</t>
  </si>
  <si>
    <t xml:space="preserve">Suricata IDS + Python monitoring + JSON alerts</t>
  </si>
  <si>
    <t xml:space="preserve">No centralized SIEM</t>
  </si>
  <si>
    <t xml:space="preserve">Network Security</t>
  </si>
  <si>
    <t xml:space="preserve">80%</t>
  </si>
  <si>
    <t xml:space="preserve">UFW firewall + Docker segmentation + DNS controls</t>
  </si>
  <si>
    <t xml:space="preserve">No NAC</t>
  </si>
  <si>
    <t xml:space="preserve">Endpoint &amp; System Security</t>
  </si>
  <si>
    <t xml:space="preserve">78%</t>
  </si>
  <si>
    <t xml:space="preserve">Hardening scripts + EDR + container security</t>
  </si>
  <si>
    <t xml:space="preserve">No automated patching</t>
  </si>
  <si>
    <t xml:space="preserve">Vulnerability Management</t>
  </si>
  <si>
    <t xml:space="preserve">75%</t>
  </si>
  <si>
    <t xml:space="preserve">B</t>
  </si>
  <si>
    <t xml:space="preserve">Active scanning + CVE research + remediation plans</t>
  </si>
  <si>
    <t xml:space="preserve">No continuous scan schedule</t>
  </si>
  <si>
    <t xml:space="preserve">Application Security</t>
  </si>
  <si>
    <t xml:space="preserve">72%</t>
  </si>
  <si>
    <t xml:space="preserve">Full web app pentest + SQLi + XSS documented</t>
  </si>
  <si>
    <t xml:space="preserve">No SAST/DAST in CI/CD</t>
  </si>
  <si>
    <t xml:space="preserve">Governance &amp; Policy</t>
  </si>
  <si>
    <t xml:space="preserve">55%</t>
  </si>
  <si>
    <t xml:space="preserve">C+</t>
  </si>
  <si>
    <t xml:space="preserve">SAD provides policy foundation</t>
  </si>
  <si>
    <t xml:space="preserve">No vendor/BC/change mgmt</t>
  </si>
  <si>
    <t xml:space="preserve">Generated: June 04, 2026  |  Owner: binette87  |  Frameworks: NIST 800-53 Rev 5 · ISO 27001:2022 · SOC 2  |  Source: github.com/binette87/Foundations_Lab_Final</t>
  </si>
  <si>
    <t xml:space="preserve">NIST SP 800-53 REV 5 — CONTROL LIBRARY &amp; ASSESSMENT</t>
  </si>
  <si>
    <t xml:space="preserve">Moderate Baseline  |  42 Controls Assessed  |  Score: 67%  |  Mapped to Foundations_Lab_Final</t>
  </si>
  <si>
    <t xml:space="preserve">Control ID</t>
  </si>
  <si>
    <t xml:space="preserve">Family</t>
  </si>
  <si>
    <t xml:space="preserve">Control Name</t>
  </si>
  <si>
    <t xml:space="preserve">Baseline</t>
  </si>
  <si>
    <t xml:space="preserve">Evidence Artifact</t>
  </si>
  <si>
    <t xml:space="preserve">Lab Source</t>
  </si>
  <si>
    <t xml:space="preserve">Notes</t>
  </si>
  <si>
    <t xml:space="preserve">ISO Mapping</t>
  </si>
  <si>
    <t xml:space="preserve">SOC 2 Mapping</t>
  </si>
  <si>
    <t xml:space="preserve">Priority</t>
  </si>
  <si>
    <t xml:space="preserve">Assessment</t>
  </si>
  <si>
    <t xml:space="preserve">AC-2</t>
  </si>
  <si>
    <t xml:space="preserve">Access Control</t>
  </si>
  <si>
    <t xml:space="preserve">Account Management</t>
  </si>
  <si>
    <t xml:space="preserve">Moderate</t>
  </si>
  <si>
    <t xml:space="preserve">onboard_engineers.ps1</t>
  </si>
  <si>
    <t xml:space="preserve">Week 05</t>
  </si>
  <si>
    <t xml:space="preserve">AD provisioning automates account lifecycle</t>
  </si>
  <si>
    <t xml:space="preserve">A.5.15</t>
  </si>
  <si>
    <t xml:space="preserve">CC6.1</t>
  </si>
  <si>
    <t xml:space="preserve">High</t>
  </si>
  <si>
    <t xml:space="preserve">Pass</t>
  </si>
  <si>
    <t xml:space="preserve">AC-3</t>
  </si>
  <si>
    <t xml:space="preserve">Access Enforcement</t>
  </si>
  <si>
    <t xml:space="preserve">gpo_audit.txt</t>
  </si>
  <si>
    <t xml:space="preserve">GPO enforces RBAC with LSDOU inheritance</t>
  </si>
  <si>
    <t xml:space="preserve">CC6.3</t>
  </si>
  <si>
    <t xml:space="preserve">AC-6</t>
  </si>
  <si>
    <t xml:space="preserve">Least Privilege</t>
  </si>
  <si>
    <t xml:space="preserve">harden.sh</t>
  </si>
  <si>
    <t xml:space="preserve">Week 01</t>
  </si>
  <si>
    <t xml:space="preserve">File permission hardening script</t>
  </si>
  <si>
    <t xml:space="preserve">A.8.2</t>
  </si>
  <si>
    <t xml:space="preserve">AC-7</t>
  </si>
  <si>
    <t xml:space="preserve">Unsuccessful Logon Attempts</t>
  </si>
  <si>
    <t xml:space="preserve">brute_detector.py</t>
  </si>
  <si>
    <t xml:space="preserve">Week 03</t>
  </si>
  <si>
    <t xml:space="preserve">Automated brute-force detection + alerting</t>
  </si>
  <si>
    <t xml:space="preserve">A.8.16</t>
  </si>
  <si>
    <t xml:space="preserve">CC7.2</t>
  </si>
  <si>
    <t xml:space="preserve">AC-11</t>
  </si>
  <si>
    <t xml:space="preserve">Session Lock</t>
  </si>
  <si>
    <t xml:space="preserve">GPO covers Windows; Linux incomplete</t>
  </si>
  <si>
    <t xml:space="preserve">A.8.3</t>
  </si>
  <si>
    <t xml:space="preserve">Medium</t>
  </si>
  <si>
    <t xml:space="preserve">AC-17</t>
  </si>
  <si>
    <t xml:space="preserve">Remote Access</t>
  </si>
  <si>
    <t xml:space="preserve">firewall_config.sh</t>
  </si>
  <si>
    <t xml:space="preserve">Week 11</t>
  </si>
  <si>
    <t xml:space="preserve">UFW restricts remote; policy not formalized</t>
  </si>
  <si>
    <t xml:space="preserve">A.6.7</t>
  </si>
  <si>
    <t xml:space="preserve">CC6.6</t>
  </si>
  <si>
    <t xml:space="preserve">AC-22</t>
  </si>
  <si>
    <t xml:space="preserve">Publicly Accessible Content</t>
  </si>
  <si>
    <t xml:space="preserve">—</t>
  </si>
  <si>
    <t xml:space="preserve">No public content management policy</t>
  </si>
  <si>
    <t xml:space="preserve">A.5.10</t>
  </si>
  <si>
    <t xml:space="preserve">CC2.3</t>
  </si>
  <si>
    <t xml:space="preserve">Low</t>
  </si>
  <si>
    <t xml:space="preserve">Fail</t>
  </si>
  <si>
    <t xml:space="preserve">AU-2</t>
  </si>
  <si>
    <t xml:space="preserve">Audit &amp; Accountability</t>
  </si>
  <si>
    <t xml:space="preserve">Event Logging</t>
  </si>
  <si>
    <t xml:space="preserve">custom_ids.rules</t>
  </si>
  <si>
    <t xml:space="preserve">Suricata rules define loggable events</t>
  </si>
  <si>
    <t xml:space="preserve">A.8.15</t>
  </si>
  <si>
    <t xml:space="preserve">AU-3</t>
  </si>
  <si>
    <t xml:space="preserve">Content of Audit Records</t>
  </si>
  <si>
    <t xml:space="preserve">security_alert.json</t>
  </si>
  <si>
    <t xml:space="preserve">JSON alert: timestamp, source, action, outcome</t>
  </si>
  <si>
    <t xml:space="preserve">CC2.1</t>
  </si>
  <si>
    <t xml:space="preserve">AU-6</t>
  </si>
  <si>
    <t xml:space="preserve">Audit Review</t>
  </si>
  <si>
    <t xml:space="preserve">Automated log analysis for anomaly detection</t>
  </si>
  <si>
    <t xml:space="preserve">AU-9</t>
  </si>
  <si>
    <t xml:space="preserve">Protection of Audit Info</t>
  </si>
  <si>
    <t xml:space="preserve">Access restricted; no cryptographic integrity</t>
  </si>
  <si>
    <t xml:space="preserve">CC7.3</t>
  </si>
  <si>
    <t xml:space="preserve">AU-12</t>
  </si>
  <si>
    <t xml:space="preserve">Audit Record Generation</t>
  </si>
  <si>
    <t xml:space="preserve">system_auditor.py</t>
  </si>
  <si>
    <t xml:space="preserve">Process auditor generates structured JSON</t>
  </si>
  <si>
    <t xml:space="preserve">CA-2</t>
  </si>
  <si>
    <t xml:space="preserve">Assessment &amp; Authorization</t>
  </si>
  <si>
    <t xml:space="preserve">Control Assessments</t>
  </si>
  <si>
    <t xml:space="preserve">Perimeter_Assessment.md</t>
  </si>
  <si>
    <t xml:space="preserve">Week 07</t>
  </si>
  <si>
    <t xml:space="preserve">Perimeter assessment documents control testing</t>
  </si>
  <si>
    <t xml:space="preserve">A.8.34</t>
  </si>
  <si>
    <t xml:space="preserve">CC4.1</t>
  </si>
  <si>
    <t xml:space="preserve">CA-5</t>
  </si>
  <si>
    <t xml:space="preserve">Plan of Action &amp; Milestones</t>
  </si>
  <si>
    <t xml:space="preserve">remediation_plan.md</t>
  </si>
  <si>
    <t xml:space="preserve">CVE remediation plan serves as POA&amp;M</t>
  </si>
  <si>
    <t xml:space="preserve">A.8.8</t>
  </si>
  <si>
    <t xml:space="preserve">CC7.5</t>
  </si>
  <si>
    <t xml:space="preserve">CA-7</t>
  </si>
  <si>
    <t xml:space="preserve">Continuous Monitoring</t>
  </si>
  <si>
    <t xml:space="preserve">IDS provides monitoring; strategy doc incomplete</t>
  </si>
  <si>
    <t xml:space="preserve">CM-2</t>
  </si>
  <si>
    <t xml:space="preserve">Configuration Mgmt</t>
  </si>
  <si>
    <t xml:space="preserve">Baseline Configuration</t>
  </si>
  <si>
    <t xml:space="preserve">docker-compose.yml</t>
  </si>
  <si>
    <t xml:space="preserve">Week 04</t>
  </si>
  <si>
    <t xml:space="preserve">Docker Compose defines infrastructure baseline</t>
  </si>
  <si>
    <t xml:space="preserve">A.8.9</t>
  </si>
  <si>
    <t xml:space="preserve">CC5.1</t>
  </si>
  <si>
    <t xml:space="preserve">CM-6</t>
  </si>
  <si>
    <t xml:space="preserve">Configuration Settings</t>
  </si>
  <si>
    <t xml:space="preserve">Hardening script codifies secure configurations</t>
  </si>
  <si>
    <t xml:space="preserve">CC4.2</t>
  </si>
  <si>
    <t xml:space="preserve">CM-7</t>
  </si>
  <si>
    <t xml:space="preserve">Least Functionality</t>
  </si>
  <si>
    <t xml:space="preserve">Air-gapped multi-container minimal surface</t>
  </si>
  <si>
    <t xml:space="preserve">CM-8</t>
  </si>
  <si>
    <t xml:space="preserve">System Component Inventory</t>
  </si>
  <si>
    <t xml:space="preserve">nmap_scan_results.txt</t>
  </si>
  <si>
    <t xml:space="preserve">Nmap discovery; no formal CMDB maintained</t>
  </si>
  <si>
    <t xml:space="preserve">A.8.1</t>
  </si>
  <si>
    <t xml:space="preserve">CC6</t>
  </si>
  <si>
    <t xml:space="preserve">IA-2</t>
  </si>
  <si>
    <t xml:space="preserve">Identification &amp; Auth</t>
  </si>
  <si>
    <t xml:space="preserve">Identification &amp; Authentication</t>
  </si>
  <si>
    <t xml:space="preserve">AD accounts enforce unique identification</t>
  </si>
  <si>
    <t xml:space="preserve">A.8.5</t>
  </si>
  <si>
    <t xml:space="preserve">CC6.2</t>
  </si>
  <si>
    <t xml:space="preserve">IA-4</t>
  </si>
  <si>
    <t xml:space="preserve">Identifier Management</t>
  </si>
  <si>
    <t xml:space="preserve">PowerShell manages AD identifier lifecycle</t>
  </si>
  <si>
    <t xml:space="preserve">IA-5</t>
  </si>
  <si>
    <t xml:space="preserve">Authenticator Management</t>
  </si>
  <si>
    <t xml:space="preserve">GPO enforces password policies + Kerberos</t>
  </si>
  <si>
    <t xml:space="preserve">IR-1</t>
  </si>
  <si>
    <t xml:space="preserve">Incident Response</t>
  </si>
  <si>
    <t xml:space="preserve">IR Policy</t>
  </si>
  <si>
    <t xml:space="preserve">Incident_Response_Report.md</t>
  </si>
  <si>
    <t xml:space="preserve">Week 12</t>
  </si>
  <si>
    <t xml:space="preserve">Full IR report documents policy + procedures</t>
  </si>
  <si>
    <t xml:space="preserve">A.5.24</t>
  </si>
  <si>
    <t xml:space="preserve">CC7.4</t>
  </si>
  <si>
    <t xml:space="preserve">IR-4</t>
  </si>
  <si>
    <t xml:space="preserve">Incident Handling</t>
  </si>
  <si>
    <t xml:space="preserve">IR report demonstrates full incident lifecycle</t>
  </si>
  <si>
    <t xml:space="preserve">A.5.26</t>
  </si>
  <si>
    <t xml:space="preserve">IR-5</t>
  </si>
  <si>
    <t xml:space="preserve">Incident Monitoring</t>
  </si>
  <si>
    <t xml:space="preserve">attack_timeline.csv</t>
  </si>
  <si>
    <t xml:space="preserve">Week 10</t>
  </si>
  <si>
    <t xml:space="preserve">Attack timeline tracks incident progression</t>
  </si>
  <si>
    <t xml:space="preserve">A.5.25</t>
  </si>
  <si>
    <t xml:space="preserve">IR-6</t>
  </si>
  <si>
    <t xml:space="preserve">Incident Reporting</t>
  </si>
  <si>
    <t xml:space="preserve">escalation_path.txt</t>
  </si>
  <si>
    <t xml:space="preserve">Escalation path documents reporting chain</t>
  </si>
  <si>
    <t xml:space="preserve">CC2.2</t>
  </si>
  <si>
    <t xml:space="preserve">IR-8</t>
  </si>
  <si>
    <t xml:space="preserve">Incident Response Plan</t>
  </si>
  <si>
    <t xml:space="preserve">Operation_Fortress_Report.md</t>
  </si>
  <si>
    <t xml:space="preserve">Purple team operation demonstrates IR plan</t>
  </si>
  <si>
    <t xml:space="preserve">RA-3</t>
  </si>
  <si>
    <t xml:space="preserve">Risk Assessment</t>
  </si>
  <si>
    <t xml:space="preserve">ThreatProfile_CloudNano.md</t>
  </si>
  <si>
    <t xml:space="preserve">OSINT threat profile documents risk methodology</t>
  </si>
  <si>
    <t xml:space="preserve">A.5.7</t>
  </si>
  <si>
    <t xml:space="preserve">CC3.2</t>
  </si>
  <si>
    <t xml:space="preserve">RA-5</t>
  </si>
  <si>
    <t xml:space="preserve">Vulnerability Monitoring</t>
  </si>
  <si>
    <t xml:space="preserve">Active scanning + CVE research + remediation</t>
  </si>
  <si>
    <t xml:space="preserve">CC7.1</t>
  </si>
  <si>
    <t xml:space="preserve">SA-11</t>
  </si>
  <si>
    <t xml:space="preserve">Sys &amp; Svc Acquisition</t>
  </si>
  <si>
    <t xml:space="preserve">Developer Testing &amp; Evaluation</t>
  </si>
  <si>
    <t xml:space="preserve">OmniPortal_Assessment.md</t>
  </si>
  <si>
    <t xml:space="preserve">Week 08-09</t>
  </si>
  <si>
    <t xml:space="preserve">Web app assessment demonstrates security testing</t>
  </si>
  <si>
    <t xml:space="preserve">A.8.29</t>
  </si>
  <si>
    <t xml:space="preserve">SC-7</t>
  </si>
  <si>
    <t xml:space="preserve">Sys &amp; Comms Protection</t>
  </si>
  <si>
    <t xml:space="preserve">Boundary Protection</t>
  </si>
  <si>
    <t xml:space="preserve">UFW firewall enforces boundary protection</t>
  </si>
  <si>
    <t xml:space="preserve">A.8.20</t>
  </si>
  <si>
    <t xml:space="preserve">SC-28</t>
  </si>
  <si>
    <t xml:space="preserve">Protection at Rest</t>
  </si>
  <si>
    <t xml:space="preserve">Volume isolation; encryption at rest not set</t>
  </si>
  <si>
    <t xml:space="preserve">A.8.24</t>
  </si>
  <si>
    <t xml:space="preserve">CC6.7</t>
  </si>
  <si>
    <t xml:space="preserve">SI-3</t>
  </si>
  <si>
    <t xml:space="preserve">Sys &amp; Info Integrity</t>
  </si>
  <si>
    <t xml:space="preserve">Malicious Code Protection</t>
  </si>
  <si>
    <t xml:space="preserve">Suricata IDS rules detect malicious code</t>
  </si>
  <si>
    <t xml:space="preserve">A.8.7</t>
  </si>
  <si>
    <t xml:space="preserve">CC6.8</t>
  </si>
  <si>
    <t xml:space="preserve">SI-4</t>
  </si>
  <si>
    <t xml:space="preserve">System Monitoring</t>
  </si>
  <si>
    <t xml:space="preserve">IDS + Python monitoring provide monitoring</t>
  </si>
  <si>
    <t xml:space="preserve">SI-10</t>
  </si>
  <si>
    <t xml:space="preserve">Information Input Validation</t>
  </si>
  <si>
    <t xml:space="preserve">sqli_report.txt</t>
  </si>
  <si>
    <t xml:space="preserve">SQLi report: input validation failures + fixes</t>
  </si>
  <si>
    <t xml:space="preserve">A.8.25</t>
  </si>
  <si>
    <t xml:space="preserve">ISO 27001:2022 — CONTROL LIBRARY &amp; STATEMENT OF APPLICABILITY</t>
  </si>
  <si>
    <t xml:space="preserve">Annex A Controls  |  35 Assessed  |  Score: 69%  |  Mapped to Foundations_Lab_Final</t>
  </si>
  <si>
    <t xml:space="preserve">Clause</t>
  </si>
  <si>
    <t xml:space="preserve">Applicable</t>
  </si>
  <si>
    <t xml:space="preserve">Evidence</t>
  </si>
  <si>
    <t xml:space="preserve">NIST Mapping</t>
  </si>
  <si>
    <t xml:space="preserve">Gap Priority</t>
  </si>
  <si>
    <t xml:space="preserve">A.5.1</t>
  </si>
  <si>
    <t xml:space="preserve">Organizational</t>
  </si>
  <si>
    <t xml:space="preserve">Policies for IS</t>
  </si>
  <si>
    <t xml:space="preserve">Yes</t>
  </si>
  <si>
    <t xml:space="preserve">HardenedOutpost_SAD.pdf</t>
  </si>
  <si>
    <t xml:space="preserve">Week 06</t>
  </si>
  <si>
    <t xml:space="preserve">SAD serves as information security policy</t>
  </si>
  <si>
    <t xml:space="preserve">PL-1</t>
  </si>
  <si>
    <t xml:space="preserve">CC1.1</t>
  </si>
  <si>
    <t xml:space="preserve">A.5.2</t>
  </si>
  <si>
    <t xml:space="preserve">IS Roles &amp; Responsibilities</t>
  </si>
  <si>
    <t xml:space="preserve">Roles defined in AD; RACI matrix needed</t>
  </si>
  <si>
    <t xml:space="preserve">CC1.3</t>
  </si>
  <si>
    <t xml:space="preserve">Threat Intelligence</t>
  </si>
  <si>
    <t xml:space="preserve">OSINT threat profile demonstrates threat intel</t>
  </si>
  <si>
    <t xml:space="preserve">A.5.8</t>
  </si>
  <si>
    <t xml:space="preserve">IS in Project Management</t>
  </si>
  <si>
    <t xml:space="preserve">Security arch in capstone; no SDLC process</t>
  </si>
  <si>
    <t xml:space="preserve">SA-3</t>
  </si>
  <si>
    <t xml:space="preserve">CC1.2</t>
  </si>
  <si>
    <t xml:space="preserve">GPO + AD implement comprehensive access control</t>
  </si>
  <si>
    <t xml:space="preserve">IR Management Planning</t>
  </si>
  <si>
    <t xml:space="preserve">Full IR report with planning documented</t>
  </si>
  <si>
    <t xml:space="preserve">Assessment of IS Events</t>
  </si>
  <si>
    <t xml:space="preserve">DFIR timeline demonstrates event assessment</t>
  </si>
  <si>
    <t xml:space="preserve">Response to IS Incidents</t>
  </si>
  <si>
    <t xml:space="preserve">Both IR reports demonstrate full response</t>
  </si>
  <si>
    <t xml:space="preserve">A.5.27</t>
  </si>
  <si>
    <t xml:space="preserve">Learning from Incidents</t>
  </si>
  <si>
    <t xml:space="preserve">tepp_postmortem.md</t>
  </si>
  <si>
    <t xml:space="preserve">Post-mortem captures lessons learned</t>
  </si>
  <si>
    <t xml:space="preserve">A.5.28</t>
  </si>
  <si>
    <t xml:space="preserve">Collection of Evidence</t>
  </si>
  <si>
    <t xml:space="preserve">collection_log.txt</t>
  </si>
  <si>
    <t xml:space="preserve">Chain-of-custody + forensic report</t>
  </si>
  <si>
    <t xml:space="preserve">A.5.29</t>
  </si>
  <si>
    <t xml:space="preserve">IS During Disruption</t>
  </si>
  <si>
    <t xml:space="preserve">SAD covers resilience; no formal BCP</t>
  </si>
  <si>
    <t xml:space="preserve">CP-2</t>
  </si>
  <si>
    <t xml:space="preserve">A1.1</t>
  </si>
  <si>
    <t xml:space="preserve">A.5.30</t>
  </si>
  <si>
    <t xml:space="preserve">ICT Readiness for BC</t>
  </si>
  <si>
    <t xml:space="preserve">No BCP/DR testing documented</t>
  </si>
  <si>
    <t xml:space="preserve">CP-4</t>
  </si>
  <si>
    <t xml:space="preserve">A1.2</t>
  </si>
  <si>
    <t xml:space="preserve">A.6.1</t>
  </si>
  <si>
    <t xml:space="preserve">People</t>
  </si>
  <si>
    <t xml:space="preserve">Screening</t>
  </si>
  <si>
    <t xml:space="preserve">No</t>
  </si>
  <si>
    <t xml:space="preserve">N/A</t>
  </si>
  <si>
    <t xml:space="preserve">Lab environment; hiring not in scope</t>
  </si>
  <si>
    <t xml:space="preserve">PS-3</t>
  </si>
  <si>
    <t xml:space="preserve">A.6.3</t>
  </si>
  <si>
    <t xml:space="preserve">IS Awareness &amp; Training</t>
  </si>
  <si>
    <t xml:space="preserve">notes.md</t>
  </si>
  <si>
    <t xml:space="preserve">All Weeks</t>
  </si>
  <si>
    <t xml:space="preserve">Lab-based learning; no formal training program</t>
  </si>
  <si>
    <t xml:space="preserve">AT-2</t>
  </si>
  <si>
    <t xml:space="preserve">CC1</t>
  </si>
  <si>
    <t xml:space="preserve">A.6.4</t>
  </si>
  <si>
    <t xml:space="preserve">Disciplinary Process</t>
  </si>
  <si>
    <t xml:space="preserve">Lab environment; employee relations N/A</t>
  </si>
  <si>
    <t xml:space="preserve">PS-8</t>
  </si>
  <si>
    <t xml:space="preserve">A.7.1</t>
  </si>
  <si>
    <t xml:space="preserve">Physical</t>
  </si>
  <si>
    <t xml:space="preserve">Physical Security Perimeters</t>
  </si>
  <si>
    <t xml:space="preserve">sandbox_report.txt</t>
  </si>
  <si>
    <t xml:space="preserve">VM air-gap demonstrates logical perimeter</t>
  </si>
  <si>
    <t xml:space="preserve">PE-3</t>
  </si>
  <si>
    <t xml:space="preserve">A.7.2</t>
  </si>
  <si>
    <t xml:space="preserve">Physical Entry Controls</t>
  </si>
  <si>
    <t xml:space="preserve">Virtual controls; physical datacenter N/A</t>
  </si>
  <si>
    <t xml:space="preserve">PE-2</t>
  </si>
  <si>
    <t xml:space="preserve">A.7.8</t>
  </si>
  <si>
    <t xml:space="preserve">Equipment Siting</t>
  </si>
  <si>
    <t xml:space="preserve">Container isolation; physical equipment N/A</t>
  </si>
  <si>
    <t xml:space="preserve">PE-16</t>
  </si>
  <si>
    <t xml:space="preserve">Technological</t>
  </si>
  <si>
    <t xml:space="preserve">Privileged Access Rights</t>
  </si>
  <si>
    <t xml:space="preserve">GPO restricts privileged access + sudo hardening</t>
  </si>
  <si>
    <t xml:space="preserve">Information Access Restriction</t>
  </si>
  <si>
    <t xml:space="preserve">GPO enforces information access restrictions</t>
  </si>
  <si>
    <t xml:space="preserve">Secure Authentication</t>
  </si>
  <si>
    <t xml:space="preserve">Kerberos + GPO password policies</t>
  </si>
  <si>
    <t xml:space="preserve">Protection Against Malware</t>
  </si>
  <si>
    <t xml:space="preserve">Suricata IDS rules detect malware behavior</t>
  </si>
  <si>
    <t xml:space="preserve">Management of Technical Vulnerabilities</t>
  </si>
  <si>
    <t xml:space="preserve">Active scanning + CVE remediation planning</t>
  </si>
  <si>
    <t xml:space="preserve">Configuration Management</t>
  </si>
  <si>
    <t xml:space="preserve">IaC + hardening scripts codify configurations</t>
  </si>
  <si>
    <t xml:space="preserve">Logging</t>
  </si>
  <si>
    <t xml:space="preserve">Python auditor + Suricata generate structured logs</t>
  </si>
  <si>
    <t xml:space="preserve">Monitoring Activities</t>
  </si>
  <si>
    <t xml:space="preserve">Automated monitoring via Python and Suricata</t>
  </si>
  <si>
    <t xml:space="preserve">Networks Security</t>
  </si>
  <si>
    <t xml:space="preserve">UFW firewall + network auditing</t>
  </si>
  <si>
    <t xml:space="preserve">A.8.22</t>
  </si>
  <si>
    <t xml:space="preserve">Segregation of Networks</t>
  </si>
  <si>
    <t xml:space="preserve">Air-gapped multi-container segmentation</t>
  </si>
  <si>
    <t xml:space="preserve">A.8.23</t>
  </si>
  <si>
    <t xml:space="preserve">Web Filtering</t>
  </si>
  <si>
    <t xml:space="preserve">UFW outbound rules; no explicit web proxy</t>
  </si>
  <si>
    <t xml:space="preserve">Use of Cryptography</t>
  </si>
  <si>
    <t xml:space="preserve">TLS in configs; no formal cryptography policy</t>
  </si>
  <si>
    <t xml:space="preserve">Secure Development Life Cycle</t>
  </si>
  <si>
    <t xml:space="preserve">Web app testing demonstrates SDLC security</t>
  </si>
  <si>
    <t xml:space="preserve">Security Testing in Development</t>
  </si>
  <si>
    <t xml:space="preserve">Full web application pentest documented</t>
  </si>
  <si>
    <t xml:space="preserve">Protection During Audit Testing</t>
  </si>
  <si>
    <t xml:space="preserve">Perimeter assessment planned and scoped</t>
  </si>
  <si>
    <t xml:space="preserve">SOC 2 — TRUST SERVICES CRITERIA &amp; READINESS ASSESSMENT</t>
  </si>
  <si>
    <t xml:space="preserve">Trust Services Criteria  |  30 Controls  |  Score: 70%  |  Readiness Target: 80%+  |  Estimated Type II: 13 months</t>
  </si>
  <si>
    <t xml:space="preserve">Criteria ID</t>
  </si>
  <si>
    <t xml:space="preserve">Category</t>
  </si>
  <si>
    <t xml:space="preserve">Criteria Name</t>
  </si>
  <si>
    <t xml:space="preserve">Description</t>
  </si>
  <si>
    <t xml:space="preserve">Audit Notes</t>
  </si>
  <si>
    <t xml:space="preserve">Common Criteria</t>
  </si>
  <si>
    <t xml:space="preserve">Commitment to Integrity</t>
  </si>
  <si>
    <t xml:space="preserve">Security principles and ethical use policies</t>
  </si>
  <si>
    <t xml:space="preserve">Strong evidence via SAD</t>
  </si>
  <si>
    <t xml:space="preserve">Exercises Oversight</t>
  </si>
  <si>
    <t xml:space="preserve">Lab context governance documented</t>
  </si>
  <si>
    <t xml:space="preserve">Governance structure needed</t>
  </si>
  <si>
    <t xml:space="preserve">Establishes Structure</t>
  </si>
  <si>
    <t xml:space="preserve">AD roles establish structure; org chart informal</t>
  </si>
  <si>
    <t xml:space="preserve">RACI matrix needed</t>
  </si>
  <si>
    <t xml:space="preserve">Uses Relevant Information</t>
  </si>
  <si>
    <t xml:space="preserve">Automated auditing generates relevant security info</t>
  </si>
  <si>
    <t xml:space="preserve">Strong monitoring evidence</t>
  </si>
  <si>
    <t xml:space="preserve">Communicates Internally</t>
  </si>
  <si>
    <t xml:space="preserve">Escalation path documents internal comms</t>
  </si>
  <si>
    <t xml:space="preserve">Well documented</t>
  </si>
  <si>
    <t xml:space="preserve">Communicates Externally</t>
  </si>
  <si>
    <t xml:space="preserve">IR covers external notification; policy needed</t>
  </si>
  <si>
    <t xml:space="preserve">External breach notification policy gap</t>
  </si>
  <si>
    <t xml:space="preserve">CC3.1</t>
  </si>
  <si>
    <t xml:space="preserve">Specifies Objectives</t>
  </si>
  <si>
    <t xml:space="preserve">SAD defines objectives and risk tolerance</t>
  </si>
  <si>
    <t xml:space="preserve">PL-2</t>
  </si>
  <si>
    <t xml:space="preserve">Identifies &amp; Analyzes Risk</t>
  </si>
  <si>
    <t xml:space="preserve">OSINT threat profile + remediation planning</t>
  </si>
  <si>
    <t xml:space="preserve">Risk methodology demonstrated</t>
  </si>
  <si>
    <t xml:space="preserve">CC3.3</t>
  </si>
  <si>
    <t xml:space="preserve">Assesses Fraud Risk</t>
  </si>
  <si>
    <t xml:space="preserve">Credential fraud detection; broader fraud N/A</t>
  </si>
  <si>
    <t xml:space="preserve">Fraud risk assessment gap</t>
  </si>
  <si>
    <t xml:space="preserve">CC3.4</t>
  </si>
  <si>
    <t xml:space="preserve">Identifies Changes</t>
  </si>
  <si>
    <t xml:space="preserve">Scanning identifies changes; no formal change mgmt</t>
  </si>
  <si>
    <t xml:space="preserve">CM-3</t>
  </si>
  <si>
    <t xml:space="preserve">Change management process needed</t>
  </si>
  <si>
    <t xml:space="preserve">Selects Control Activities</t>
  </si>
  <si>
    <t xml:space="preserve">IDS rules + firewall are risk-mitigating controls</t>
  </si>
  <si>
    <t xml:space="preserve">Controls mapped to risks</t>
  </si>
  <si>
    <t xml:space="preserve">Deploys General IT Controls</t>
  </si>
  <si>
    <t xml:space="preserve">GPO + hardening scripts are general IT controls</t>
  </si>
  <si>
    <t xml:space="preserve">Strong evidence</t>
  </si>
  <si>
    <t xml:space="preserve">Selects Technology Controls</t>
  </si>
  <si>
    <t xml:space="preserve">Container segmentation + firewall are tech controls</t>
  </si>
  <si>
    <t xml:space="preserve">Well implemented</t>
  </si>
  <si>
    <t xml:space="preserve">CC5.2</t>
  </si>
  <si>
    <t xml:space="preserve">Deploys Through Policies</t>
  </si>
  <si>
    <t xml:space="preserve">Controls deployed via GPO and hardening scripts</t>
  </si>
  <si>
    <t xml:space="preserve">Policy-driven deployment</t>
  </si>
  <si>
    <t xml:space="preserve">Logical Access - Auth Users</t>
  </si>
  <si>
    <t xml:space="preserve">AD + GPO provides complete logical access control</t>
  </si>
  <si>
    <t xml:space="preserve">Comprehensive evidence</t>
  </si>
  <si>
    <t xml:space="preserve">Issues System Credentials</t>
  </si>
  <si>
    <t xml:space="preserve">PowerShell enforces credentialing process</t>
  </si>
  <si>
    <t xml:space="preserve">Role-Based Access Control</t>
  </si>
  <si>
    <t xml:space="preserve">GPO implements RBAC with LSDOU inheritance</t>
  </si>
  <si>
    <t xml:space="preserve">Strong RBAC evidence</t>
  </si>
  <si>
    <t xml:space="preserve">External Access Controls</t>
  </si>
  <si>
    <t xml:space="preserve">UFW firewall restricts external access</t>
  </si>
  <si>
    <t xml:space="preserve">Boundary protection documented</t>
  </si>
  <si>
    <t xml:space="preserve">Transmission &amp; Movement</t>
  </si>
  <si>
    <t xml:space="preserve">Network segmentation restricts movement; no DLP</t>
  </si>
  <si>
    <t xml:space="preserve">DLP implementation needed</t>
  </si>
  <si>
    <t xml:space="preserve">Unauthorized Software</t>
  </si>
  <si>
    <t xml:space="preserve">Suricata IDS + EDR prevent unauthorized software</t>
  </si>
  <si>
    <t xml:space="preserve">Strong detection controls</t>
  </si>
  <si>
    <t xml:space="preserve">Detection of Vulnerabilities</t>
  </si>
  <si>
    <t xml:space="preserve">Active scanning + IDS for continuous detection</t>
  </si>
  <si>
    <t xml:space="preserve">Continuous detection capability</t>
  </si>
  <si>
    <t xml:space="preserve">Monitoring System Components</t>
  </si>
  <si>
    <t xml:space="preserve">Automated monitoring scripts detect anomalies</t>
  </si>
  <si>
    <t xml:space="preserve">Evaluates Security Events</t>
  </si>
  <si>
    <t xml:space="preserve">DFIR demonstrates security event evaluation</t>
  </si>
  <si>
    <t xml:space="preserve">Excellent forensic evidence</t>
  </si>
  <si>
    <t xml:space="preserve">Responds to Incidents</t>
  </si>
  <si>
    <t xml:space="preserve">Full incident response execution documented</t>
  </si>
  <si>
    <t xml:space="preserve">Outstanding evidence</t>
  </si>
  <si>
    <t xml:space="preserve">Identifies Incident Causes</t>
  </si>
  <si>
    <t xml:space="preserve">Post-mortem + remediation document root cause</t>
  </si>
  <si>
    <t xml:space="preserve">Complete post-incident analysis</t>
  </si>
  <si>
    <t xml:space="preserve">CC8.1</t>
  </si>
  <si>
    <t xml:space="preserve">Manages Changes</t>
  </si>
  <si>
    <t xml:space="preserve">IaC enables controlled changes; no formal CAB</t>
  </si>
  <si>
    <t xml:space="preserve">Change management process gap</t>
  </si>
  <si>
    <t xml:space="preserve">CC9.1</t>
  </si>
  <si>
    <t xml:space="preserve">Identifies Vendors</t>
  </si>
  <si>
    <t xml:space="preserve">No vendor risk management program documented</t>
  </si>
  <si>
    <t xml:space="preserve">SA-9</t>
  </si>
  <si>
    <t xml:space="preserve">A.5.19</t>
  </si>
  <si>
    <t xml:space="preserve">Critical gap for SOC 2</t>
  </si>
  <si>
    <t xml:space="preserve">CC9.2</t>
  </si>
  <si>
    <t xml:space="preserve">Manages Vendor Risk</t>
  </si>
  <si>
    <t xml:space="preserve">No subservice organization management</t>
  </si>
  <si>
    <t xml:space="preserve">A.5.20</t>
  </si>
  <si>
    <t xml:space="preserve">Availability</t>
  </si>
  <si>
    <t xml:space="preserve">Capacity Management</t>
  </si>
  <si>
    <t xml:space="preserve">Container resource limits; no formal capacity plan</t>
  </si>
  <si>
    <t xml:space="preserve">Capacity planning needed</t>
  </si>
  <si>
    <t xml:space="preserve">Backup and Recovery</t>
  </si>
  <si>
    <t xml:space="preserve">backup_discovery.txt</t>
  </si>
  <si>
    <t xml:space="preserve">Backup discovery documented; no recovery policy</t>
  </si>
  <si>
    <t xml:space="preserve">CP-9</t>
  </si>
  <si>
    <t xml:space="preserve">RTO/RPO definition needed</t>
  </si>
  <si>
    <t xml:space="preserve">C1.1</t>
  </si>
  <si>
    <t xml:space="preserve">Confidentiality</t>
  </si>
  <si>
    <t xml:space="preserve">Identifies Confidential Info</t>
  </si>
  <si>
    <t xml:space="preserve">Chain-of-custody identifies confidential data</t>
  </si>
  <si>
    <t xml:space="preserve">MP-2</t>
  </si>
  <si>
    <t xml:space="preserve">A.8.12</t>
  </si>
  <si>
    <t xml:space="preserve">RISK REGISTER — LIKELIHOOD × IMPACT MATRIX</t>
  </si>
  <si>
    <t xml:space="preserve">15 Risks  |  8 High/Critical  |  Likelihood 1-5 × Impact 1-5 = Risk Score (1-25)</t>
  </si>
  <si>
    <t xml:space="preserve">Risk ID</t>
  </si>
  <si>
    <t xml:space="preserve">Title</t>
  </si>
  <si>
    <t xml:space="preserve">Likelihood</t>
  </si>
  <si>
    <t xml:space="preserve">Impact</t>
  </si>
  <si>
    <t xml:space="preserve">Risk Score</t>
  </si>
  <si>
    <t xml:space="preserve">Risk Level</t>
  </si>
  <si>
    <t xml:space="preserve">Current Controls</t>
  </si>
  <si>
    <t xml:space="preserve">Treatment</t>
  </si>
  <si>
    <t xml:space="preserve">Owner</t>
  </si>
  <si>
    <t xml:space="preserve">Due Date</t>
  </si>
  <si>
    <t xml:space="preserve">Residual Risk</t>
  </si>
  <si>
    <t xml:space="preserve">RK-001</t>
  </si>
  <si>
    <t xml:space="preserve">Brute Force Credential Attack</t>
  </si>
  <si>
    <t xml:space="preserve">Authentication</t>
  </si>
  <si>
    <t xml:space="preserve">brute_detector.py + GPO lockout</t>
  </si>
  <si>
    <t xml:space="preserve">Mitigate</t>
  </si>
  <si>
    <t xml:space="preserve">Binette</t>
  </si>
  <si>
    <t xml:space="preserve">2026-07-01</t>
  </si>
  <si>
    <t xml:space="preserve">Open</t>
  </si>
  <si>
    <t xml:space="preserve">Week 03; Week 05</t>
  </si>
  <si>
    <t xml:space="preserve">RK-002</t>
  </si>
  <si>
    <t xml:space="preserve">SQL Injection Attack</t>
  </si>
  <si>
    <t xml:space="preserve">App Security</t>
  </si>
  <si>
    <t xml:space="preserve">sqli_report.txt; WAF rules deployed</t>
  </si>
  <si>
    <t xml:space="preserve">2026-07-15</t>
  </si>
  <si>
    <t xml:space="preserve">RK-003</t>
  </si>
  <si>
    <t xml:space="preserve">Lateral Movement</t>
  </si>
  <si>
    <t xml:space="preserve">docker-compose.yml; firewall_config.sh</t>
  </si>
  <si>
    <t xml:space="preserve">2026-08-01</t>
  </si>
  <si>
    <t xml:space="preserve">Week 04; Week 11</t>
  </si>
  <si>
    <t xml:space="preserve">RK-004</t>
  </si>
  <si>
    <t xml:space="preserve">Cross-Site Scripting (XSS)</t>
  </si>
  <si>
    <t xml:space="preserve">CSP header; output encoding deployed</t>
  </si>
  <si>
    <t xml:space="preserve">RK-005</t>
  </si>
  <si>
    <t xml:space="preserve">Privilege Escalation</t>
  </si>
  <si>
    <t xml:space="preserve">harden.sh; GPO enforcement</t>
  </si>
  <si>
    <t xml:space="preserve">2026-08-15</t>
  </si>
  <si>
    <t xml:space="preserve">Week 01; Week 05</t>
  </si>
  <si>
    <t xml:space="preserve">RK-006</t>
  </si>
  <si>
    <t xml:space="preserve">Data Exfiltration via Malware</t>
  </si>
  <si>
    <t xml:space="preserve">Malware</t>
  </si>
  <si>
    <t xml:space="preserve">custom_ids.rules; edr_policy.xml</t>
  </si>
  <si>
    <t xml:space="preserve">2026-09-01</t>
  </si>
  <si>
    <t xml:space="preserve">RK-007</t>
  </si>
  <si>
    <t xml:space="preserve">Unpatched Critical CVE</t>
  </si>
  <si>
    <t xml:space="preserve">Vuln Mgmt</t>
  </si>
  <si>
    <t xml:space="preserve">remediation_plan.md; patch SLAs (in progress)</t>
  </si>
  <si>
    <t xml:space="preserve">RK-008</t>
  </si>
  <si>
    <t xml:space="preserve">Insider Threat - Data Theft</t>
  </si>
  <si>
    <t xml:space="preserve">Insider Threat</t>
  </si>
  <si>
    <t xml:space="preserve">gpo_audit.txt; audit logging</t>
  </si>
  <si>
    <t xml:space="preserve">Week 05; Week 10</t>
  </si>
  <si>
    <t xml:space="preserve">RK-009</t>
  </si>
  <si>
    <t xml:space="preserve">Container Escape</t>
  </si>
  <si>
    <t xml:space="preserve">Containerization</t>
  </si>
  <si>
    <t xml:space="preserve">Non-privileged container configs</t>
  </si>
  <si>
    <t xml:space="preserve">RK-010</t>
  </si>
  <si>
    <t xml:space="preserve">Phishing Attack</t>
  </si>
  <si>
    <t xml:space="preserve">Social Engineering</t>
  </si>
  <si>
    <t xml:space="preserve">No controls currently documented</t>
  </si>
  <si>
    <t xml:space="preserve">RK-011</t>
  </si>
  <si>
    <t xml:space="preserve">Denial of Service Attack</t>
  </si>
  <si>
    <t xml:space="preserve">UFW rate limiting</t>
  </si>
  <si>
    <t xml:space="preserve">Accept</t>
  </si>
  <si>
    <t xml:space="preserve">2026-10-01</t>
  </si>
  <si>
    <t xml:space="preserve">Accepted</t>
  </si>
  <si>
    <t xml:space="preserve">RK-012</t>
  </si>
  <si>
    <t xml:space="preserve">Evidence Tampering</t>
  </si>
  <si>
    <t xml:space="preserve">Forensics</t>
  </si>
  <si>
    <t xml:space="preserve">collection_log.txt; system_auditor.py</t>
  </si>
  <si>
    <t xml:space="preserve">Week 10; Week 03</t>
  </si>
  <si>
    <t xml:space="preserve">RK-013</t>
  </si>
  <si>
    <t xml:space="preserve">Third-Party Vendor Risk</t>
  </si>
  <si>
    <t xml:space="preserve">Supply Chain</t>
  </si>
  <si>
    <t xml:space="preserve">No vendor risk program (gap)</t>
  </si>
  <si>
    <t xml:space="preserve">RK-014</t>
  </si>
  <si>
    <t xml:space="preserve">Inadequate Backup &amp; Recovery</t>
  </si>
  <si>
    <t xml:space="preserve">BC/DR</t>
  </si>
  <si>
    <t xml:space="preserve">backup_discovery.txt (partial)</t>
  </si>
  <si>
    <t xml:space="preserve">RK-015</t>
  </si>
  <si>
    <t xml:space="preserve">Network Reconnaissance</t>
  </si>
  <si>
    <t xml:space="preserve">nmap_scan_results.txt; IDS detection rules</t>
  </si>
  <si>
    <t xml:space="preserve">Week 07; Week 11</t>
  </si>
  <si>
    <t xml:space="preserve">INCIDENT LOG — DETECTION · RESPONSE · REMEDIATION</t>
  </si>
  <si>
    <t xml:space="preserve">10 Incidents YTD  |  10 Closed  |  0 Open  |  Jan–May 2026</t>
  </si>
  <si>
    <t xml:space="preserve">ID</t>
  </si>
  <si>
    <t xml:space="preserve">Date</t>
  </si>
  <si>
    <t xml:space="preserve">Severity</t>
  </si>
  <si>
    <t xml:space="preserve">Detection Method</t>
  </si>
  <si>
    <t xml:space="preserve">Root Cause</t>
  </si>
  <si>
    <t xml:space="preserve">Remediation Actions</t>
  </si>
  <si>
    <t xml:space="preserve">Lessons Learned</t>
  </si>
  <si>
    <t xml:space="preserve">Framework Ref</t>
  </si>
  <si>
    <t xml:space="preserve">Closed</t>
  </si>
  <si>
    <t xml:space="preserve">INC-001</t>
  </si>
  <si>
    <t xml:space="preserve">2026-01-15</t>
  </si>
  <si>
    <t xml:space="preserve">App Attack</t>
  </si>
  <si>
    <t xml:space="preserve">Manual pentest</t>
  </si>
  <si>
    <t xml:space="preserve">Missing input validation; no parameterized queries</t>
  </si>
  <si>
    <t xml:space="preserve">Potential DB access demonstrated</t>
  </si>
  <si>
    <t xml:space="preserve">Parameterized queries; WAF rules added</t>
  </si>
  <si>
    <t xml:space="preserve">Always test injection during development</t>
  </si>
  <si>
    <t xml:space="preserve">NIST IR-4; ISO A.5.26</t>
  </si>
  <si>
    <t xml:space="preserve">2026-01-22</t>
  </si>
  <si>
    <t xml:space="preserve">INC-002</t>
  </si>
  <si>
    <t xml:space="preserve">SSH Brute Force Attack</t>
  </si>
  <si>
    <t xml:space="preserve">2026-01-28</t>
  </si>
  <si>
    <t xml:space="preserve">Auth Attack</t>
  </si>
  <si>
    <t xml:space="preserve">SSH exposed without rate limiting</t>
  </si>
  <si>
    <t xml:space="preserve">No successful auth; service degraded</t>
  </si>
  <si>
    <t xml:space="preserve">fail2ban; UFW rate limiting; key-only SSH</t>
  </si>
  <si>
    <t xml:space="preserve">Deploy brute force detection before exposure</t>
  </si>
  <si>
    <t xml:space="preserve">NIST AC-7; ISO A.8.16</t>
  </si>
  <si>
    <t xml:space="preserve">2026-02-04</t>
  </si>
  <si>
    <t xml:space="preserve">INC-003</t>
  </si>
  <si>
    <t xml:space="preserve">XSS Session Cookie Theft</t>
  </si>
  <si>
    <t xml:space="preserve">2026-02-10</t>
  </si>
  <si>
    <t xml:space="preserve">No output encoding; no HttpOnly flag</t>
  </si>
  <si>
    <t xml:space="preserve">Cookie exposure demonstrated</t>
  </si>
  <si>
    <t xml:space="preserve">Output encoding; HttpOnly; CSP header</t>
  </si>
  <si>
    <t xml:space="preserve">CSP is critical defense-in-depth</t>
  </si>
  <si>
    <t xml:space="preserve">NIST SI-10; ISO A.8.25</t>
  </si>
  <si>
    <t xml:space="preserve">2026-02-17</t>
  </si>
  <si>
    <t xml:space="preserve">INC-004</t>
  </si>
  <si>
    <t xml:space="preserve">2026-02-20</t>
  </si>
  <si>
    <t xml:space="preserve">Recon</t>
  </si>
  <si>
    <t xml:space="preserve">Suricata IDS alert</t>
  </si>
  <si>
    <t xml:space="preserve">Insufficient alerting; open services</t>
  </si>
  <si>
    <t xml:space="preserve">Attack surface mapped; no data lost</t>
  </si>
  <si>
    <t xml:space="preserve">SYN scan detection; closed open ports</t>
  </si>
  <si>
    <t xml:space="preserve">Proactive scanning is essential</t>
  </si>
  <si>
    <t xml:space="preserve">NIST SI-4; ISO A.8.16</t>
  </si>
  <si>
    <t xml:space="preserve">2026-02-27</t>
  </si>
  <si>
    <t xml:space="preserve">INC-005</t>
  </si>
  <si>
    <t xml:space="preserve">Privilege Escalation - Sudo</t>
  </si>
  <si>
    <t xml:space="preserve">2026-03-05</t>
  </si>
  <si>
    <t xml:space="preserve">Wildcard sudo rule from initial setup</t>
  </si>
  <si>
    <t xml:space="preserve">Temporary root access; no exfiltration</t>
  </si>
  <si>
    <t xml:space="preserve">Corrected sudo rules; added sudo audit logging</t>
  </si>
  <si>
    <t xml:space="preserve">Never use wildcard sudo rules</t>
  </si>
  <si>
    <t xml:space="preserve">NIST AC-6; ISO A.8.2</t>
  </si>
  <si>
    <t xml:space="preserve">2026-03-12</t>
  </si>
  <si>
    <t xml:space="preserve">INC-006</t>
  </si>
  <si>
    <t xml:space="preserve">Malware Persistence - Task</t>
  </si>
  <si>
    <t xml:space="preserve">2026-03-18</t>
  </si>
  <si>
    <t xml:space="preserve">edr_policy.xml alert</t>
  </si>
  <si>
    <t xml:space="preserve">Insufficient scheduled task monitoring</t>
  </si>
  <si>
    <t xml:space="preserve">Persistence in lab; no prod impact</t>
  </si>
  <si>
    <t xml:space="preserve">Removed task; task scheduler auditing</t>
  </si>
  <si>
    <t xml:space="preserve">Monitor scheduled task creation</t>
  </si>
  <si>
    <t xml:space="preserve">2026-03-25</t>
  </si>
  <si>
    <t xml:space="preserve">INC-007</t>
  </si>
  <si>
    <t xml:space="preserve">AD Kerberoasting Attempt</t>
  </si>
  <si>
    <t xml:space="preserve">2026-03-28</t>
  </si>
  <si>
    <t xml:space="preserve">Credential Attack</t>
  </si>
  <si>
    <t xml:space="preserve">Suricata - Kerberos anomaly</t>
  </si>
  <si>
    <t xml:space="preserve">Weak service account passwords + SPNs</t>
  </si>
  <si>
    <t xml:space="preserve">Service ticket captured for analysis</t>
  </si>
  <si>
    <t xml:space="preserve">LAPS; 25+ char passwords; Kerberos IDS</t>
  </si>
  <si>
    <t xml:space="preserve">LAPS reduces Kerberoasting risk significantly</t>
  </si>
  <si>
    <t xml:space="preserve">NIST IA-5; ISO A.8.5</t>
  </si>
  <si>
    <t xml:space="preserve">2026-04-04</t>
  </si>
  <si>
    <t xml:space="preserve">INC-008</t>
  </si>
  <si>
    <t xml:space="preserve">DNS Tunneling Exfiltration</t>
  </si>
  <si>
    <t xml:space="preserve">2026-04-10</t>
  </si>
  <si>
    <t xml:space="preserve">Data Exfiltration</t>
  </si>
  <si>
    <t xml:space="preserve">Suricata - DNS anomaly</t>
  </si>
  <si>
    <t xml:space="preserve">No DNS query inspection; external DNS allowed</t>
  </si>
  <si>
    <t xml:space="preserve">Simulated exfiltration; no real data</t>
  </si>
  <si>
    <t xml:space="preserve">Internal DNS; blocked external DNS; Suricata</t>
  </si>
  <si>
    <t xml:space="preserve">DNS inspection + internal resolvers essential</t>
  </si>
  <si>
    <t xml:space="preserve">NIST SC-7; ISO A.8.20</t>
  </si>
  <si>
    <t xml:space="preserve">2026-04-17</t>
  </si>
  <si>
    <t xml:space="preserve">INC-009</t>
  </si>
  <si>
    <t xml:space="preserve">Apache Log Tampering</t>
  </si>
  <si>
    <t xml:space="preserve">2026-04-22</t>
  </si>
  <si>
    <t xml:space="preserve">Integrity Violation</t>
  </si>
  <si>
    <t xml:space="preserve">Manual log review</t>
  </si>
  <si>
    <t xml:space="preserve">No log integrity protection on local logs</t>
  </si>
  <si>
    <t xml:space="preserve">Log tampering obscured attack timeline</t>
  </si>
  <si>
    <t xml:space="preserve">Remote syslog; log integrity monitoring</t>
  </si>
  <si>
    <t xml:space="preserve">Remote syslog is non-negotiable</t>
  </si>
  <si>
    <t xml:space="preserve">NIST AU-9; ISO A.8.15</t>
  </si>
  <si>
    <t xml:space="preserve">2026-04-29</t>
  </si>
  <si>
    <t xml:space="preserve">INC-010</t>
  </si>
  <si>
    <t xml:space="preserve">Container Breakout Attempt</t>
  </si>
  <si>
    <t xml:space="preserve">2026-05-05</t>
  </si>
  <si>
    <t xml:space="preserve">Container Security</t>
  </si>
  <si>
    <t xml:space="preserve">Docker socket mounted into container</t>
  </si>
  <si>
    <t xml:space="preserve">Container isolation compromised in test</t>
  </si>
  <si>
    <t xml:space="preserve">Removed socket mount; container policies</t>
  </si>
  <si>
    <t xml:space="preserve">Never mount Docker socket into containers</t>
  </si>
  <si>
    <t xml:space="preserve">NIST CM-7; ISO A.8.9</t>
  </si>
  <si>
    <t xml:space="preserve">2026-05-12</t>
  </si>
  <si>
    <t xml:space="preserve">REMEDIATION TRACKER — STATUS · OWNERSHIP · PROGRESS</t>
  </si>
  <si>
    <t xml:space="preserve">20 Items  |  7 Completed  |  4 In Progress  |  9 Planned  |  Owner: binette87</t>
  </si>
  <si>
    <t xml:space="preserve">Rem. ID</t>
  </si>
  <si>
    <t xml:space="preserve">Source</t>
  </si>
  <si>
    <t xml:space="preserve">% Complete</t>
  </si>
  <si>
    <t xml:space="preserve">Dependencies</t>
  </si>
  <si>
    <t xml:space="preserve">REM-001</t>
  </si>
  <si>
    <t xml:space="preserve">Parameterized Queries (SQLi Fix)</t>
  </si>
  <si>
    <t xml:space="preserve">Critical</t>
  </si>
  <si>
    <t xml:space="preserve">Completed</t>
  </si>
  <si>
    <t xml:space="preserve">None</t>
  </si>
  <si>
    <t xml:space="preserve">All login/search functions updated</t>
  </si>
  <si>
    <t xml:space="preserve">REM-002</t>
  </si>
  <si>
    <t xml:space="preserve">CSP + Output Encoding (XSS Fix)</t>
  </si>
  <si>
    <t xml:space="preserve">CSP deployed; encoding library integrated</t>
  </si>
  <si>
    <t xml:space="preserve">REM-003</t>
  </si>
  <si>
    <t xml:space="preserve">SSH Hardening - Key Auth Only</t>
  </si>
  <si>
    <t xml:space="preserve">NIST AC-7; ISO A.8.5</t>
  </si>
  <si>
    <t xml:space="preserve">SSH hardened across all lab hosts</t>
  </si>
  <si>
    <t xml:space="preserve">REM-004</t>
  </si>
  <si>
    <t xml:space="preserve">Remote Syslog (Log Integrity)</t>
  </si>
  <si>
    <t xml:space="preserve">AUD-007</t>
  </si>
  <si>
    <t xml:space="preserve">Audit &amp; Logging</t>
  </si>
  <si>
    <t xml:space="preserve">Rsyslog configured; central server in progress</t>
  </si>
  <si>
    <t xml:space="preserve">REM-005</t>
  </si>
  <si>
    <t xml:space="preserve">Remove Privileged Containers</t>
  </si>
  <si>
    <t xml:space="preserve">Container Sec</t>
  </si>
  <si>
    <t xml:space="preserve">2026-06-15</t>
  </si>
  <si>
    <t xml:space="preserve">docker-compose.yml updated; all non-privileged</t>
  </si>
  <si>
    <t xml:space="preserve">REM-006</t>
  </si>
  <si>
    <t xml:space="preserve">LAPS - Service Account Passwords</t>
  </si>
  <si>
    <t xml:space="preserve">Identity</t>
  </si>
  <si>
    <t xml:space="preserve">LAPS deployed; passwords rotated</t>
  </si>
  <si>
    <t xml:space="preserve">REM-007</t>
  </si>
  <si>
    <t xml:space="preserve">Internal DNS + Block External DNS</t>
  </si>
  <si>
    <t xml:space="preserve">Network</t>
  </si>
  <si>
    <t xml:space="preserve">Internal DNS deployed; external DNS blocked</t>
  </si>
  <si>
    <t xml:space="preserve">REM-008</t>
  </si>
  <si>
    <t xml:space="preserve">Correct Sudo Rules</t>
  </si>
  <si>
    <t xml:space="preserve">2026-06-01</t>
  </si>
  <si>
    <t xml:space="preserve">All sudo rules audited; harden.sh updated</t>
  </si>
  <si>
    <t xml:space="preserve">REM-009</t>
  </si>
  <si>
    <t xml:space="preserve">Vendor Risk Management Program</t>
  </si>
  <si>
    <t xml:space="preserve">Governance</t>
  </si>
  <si>
    <t xml:space="preserve">Planned</t>
  </si>
  <si>
    <t xml:space="preserve">NIST SA-9; ISO A.5.19</t>
  </si>
  <si>
    <t xml:space="preserve">Pending other high-priority items</t>
  </si>
  <si>
    <t xml:space="preserve">REM-010</t>
  </si>
  <si>
    <t xml:space="preserve">Formal Change Management Process</t>
  </si>
  <si>
    <t xml:space="preserve">SOC CC8.1</t>
  </si>
  <si>
    <t xml:space="preserve">SOC CC8.1; NIST CM-3</t>
  </si>
  <si>
    <t xml:space="preserve">CAB process draft in progress</t>
  </si>
  <si>
    <t xml:space="preserve">REM-011</t>
  </si>
  <si>
    <t xml:space="preserve">Backup &amp; Recovery Policy</t>
  </si>
  <si>
    <t xml:space="preserve">NIST CP-9; ISO A.5.30</t>
  </si>
  <si>
    <t xml:space="preserve">RTO/RPO approval</t>
  </si>
  <si>
    <t xml:space="preserve">Blocked pending stakeholder input</t>
  </si>
  <si>
    <t xml:space="preserve">REM-012</t>
  </si>
  <si>
    <t xml:space="preserve">Multi-Factor Authentication</t>
  </si>
  <si>
    <t xml:space="preserve">NIST IA-2; ISO A.8.5</t>
  </si>
  <si>
    <t xml:space="preserve">MFA tool selection</t>
  </si>
  <si>
    <t xml:space="preserve">Evaluating TOTP vs YubiKey</t>
  </si>
  <si>
    <t xml:space="preserve">REM-013</t>
  </si>
  <si>
    <t xml:space="preserve">Patch Management SLAs</t>
  </si>
  <si>
    <t xml:space="preserve">NIST SI-2; ISO A.8.8</t>
  </si>
  <si>
    <t xml:space="preserve">SLAs defined; automation tooling selection</t>
  </si>
  <si>
    <t xml:space="preserve">REM-014</t>
  </si>
  <si>
    <t xml:space="preserve">Data Loss Prevention (DLP)</t>
  </si>
  <si>
    <t xml:space="preserve">Data Protection</t>
  </si>
  <si>
    <t xml:space="preserve">NIST SC-28; ISO A.8.12</t>
  </si>
  <si>
    <t xml:space="preserve">Resource allocation</t>
  </si>
  <si>
    <t xml:space="preserve">High effort; long-term project</t>
  </si>
  <si>
    <t xml:space="preserve">REM-015</t>
  </si>
  <si>
    <t xml:space="preserve">Security Awareness Training</t>
  </si>
  <si>
    <t xml:space="preserve">ISO A.6.3</t>
  </si>
  <si>
    <t xml:space="preserve">Training</t>
  </si>
  <si>
    <t xml:space="preserve">NIST AT-2; ISO A.6.3</t>
  </si>
  <si>
    <t xml:space="preserve">LMS selection</t>
  </si>
  <si>
    <t xml:space="preserve">Training content being developed</t>
  </si>
  <si>
    <t xml:space="preserve">REM-016</t>
  </si>
  <si>
    <t xml:space="preserve">Session Lock on Linux Hosts</t>
  </si>
  <si>
    <t xml:space="preserve">NIST AC-11</t>
  </si>
  <si>
    <t xml:space="preserve">NIST AC-11; ISO A.8.3</t>
  </si>
  <si>
    <t xml:space="preserve">Quick win - low effort</t>
  </si>
  <si>
    <t xml:space="preserve">REM-017</t>
  </si>
  <si>
    <t xml:space="preserve">Cryptography Policy</t>
  </si>
  <si>
    <t xml:space="preserve">ISO A.8.24</t>
  </si>
  <si>
    <t xml:space="preserve">ISO A.8.24; NIST SC-28</t>
  </si>
  <si>
    <t xml:space="preserve">Policy template available</t>
  </si>
  <si>
    <t xml:space="preserve">REM-018</t>
  </si>
  <si>
    <t xml:space="preserve">Asset Inventory (CMDB)</t>
  </si>
  <si>
    <t xml:space="preserve">NIST CM-8</t>
  </si>
  <si>
    <t xml:space="preserve">Asset Mgmt</t>
  </si>
  <si>
    <t xml:space="preserve">NIST CM-8; ISO A.8.1</t>
  </si>
  <si>
    <t xml:space="preserve">Evaluating netdisco vs spreadsheet</t>
  </si>
  <si>
    <t xml:space="preserve">REM-019</t>
  </si>
  <si>
    <t xml:space="preserve">Achieve 80% NIST Compliance</t>
  </si>
  <si>
    <t xml:space="preserve">NIST Assess</t>
  </si>
  <si>
    <t xml:space="preserve">Compliance</t>
  </si>
  <si>
    <t xml:space="preserve">2026-12-01</t>
  </si>
  <si>
    <t xml:space="preserve">NIST 800-53</t>
  </si>
  <si>
    <t xml:space="preserve">Multiple sub-items</t>
  </si>
  <si>
    <t xml:space="preserve">Multiple sub-remediations tracked above</t>
  </si>
  <si>
    <t xml:space="preserve">REM-020</t>
  </si>
  <si>
    <t xml:space="preserve">Achieve 85% SOC 2 Readiness</t>
  </si>
  <si>
    <t xml:space="preserve">SOC 2 TSC</t>
  </si>
  <si>
    <t xml:space="preserve">REM-009-012</t>
  </si>
  <si>
    <t xml:space="preserve">Dependent on critical gap remediations</t>
  </si>
  <si>
    <t xml:space="preserve">AUDIT SCHEDULE &amp; FINDINGS TRACKER</t>
  </si>
  <si>
    <t xml:space="preserve">14 Audits  |  9 Completed  |  1 In Progress  |  4 Planned  |  2026 Audit Program</t>
  </si>
  <si>
    <t xml:space="preserve">Audit ID</t>
  </si>
  <si>
    <t xml:space="preserve">Audit Name</t>
  </si>
  <si>
    <t xml:space="preserve">Type</t>
  </si>
  <si>
    <t xml:space="preserve">Auditor</t>
  </si>
  <si>
    <t xml:space="preserve">Findings</t>
  </si>
  <si>
    <t xml:space="preserve">High Findings</t>
  </si>
  <si>
    <t xml:space="preserve">Medium Findings</t>
  </si>
  <si>
    <t xml:space="preserve">Next Audit</t>
  </si>
  <si>
    <t xml:space="preserve">AUD-001</t>
  </si>
  <si>
    <t xml:space="preserve">Annual Access Control Review</t>
  </si>
  <si>
    <t xml:space="preserve">Internal</t>
  </si>
  <si>
    <t xml:space="preserve">NIST AC; ISO A.5.15; SOC CC6</t>
  </si>
  <si>
    <t xml:space="preserve">2027-01-15</t>
  </si>
  <si>
    <t xml:space="preserve">AUD-002</t>
  </si>
  <si>
    <t xml:space="preserve">Vulnerability Assessment - Network</t>
  </si>
  <si>
    <t xml:space="preserve">Technical</t>
  </si>
  <si>
    <t xml:space="preserve">NIST RA-5; ISO A.8.8; SOC CC7</t>
  </si>
  <si>
    <t xml:space="preserve">2026-01-20</t>
  </si>
  <si>
    <t xml:space="preserve">2026-07-20</t>
  </si>
  <si>
    <t xml:space="preserve">AUD-003</t>
  </si>
  <si>
    <t xml:space="preserve">Web App Security Assessment</t>
  </si>
  <si>
    <t xml:space="preserve">NIST SA-11; ISO A.8.29; SOC CC7</t>
  </si>
  <si>
    <t xml:space="preserve">2026-02-01</t>
  </si>
  <si>
    <t xml:space="preserve">AUD-004</t>
  </si>
  <si>
    <t xml:space="preserve">Configuration Baseline Review</t>
  </si>
  <si>
    <t xml:space="preserve">NIST CM-6; ISO A.8.9; SOC CC5</t>
  </si>
  <si>
    <t xml:space="preserve">2026-02-15</t>
  </si>
  <si>
    <t xml:space="preserve">AUD-005</t>
  </si>
  <si>
    <t xml:space="preserve">IR Plan Tabletop Exercise</t>
  </si>
  <si>
    <t xml:space="preserve">Process</t>
  </si>
  <si>
    <t xml:space="preserve">NIST IR-8; ISO A.5.24; SOC CC7</t>
  </si>
  <si>
    <t xml:space="preserve">2026-03-01</t>
  </si>
  <si>
    <t xml:space="preserve">AUD-006</t>
  </si>
  <si>
    <t xml:space="preserve">Firewall Rule Review</t>
  </si>
  <si>
    <t xml:space="preserve">NIST SC-7; ISO A.8.20; SOC CC6</t>
  </si>
  <si>
    <t xml:space="preserve">2026-03-15</t>
  </si>
  <si>
    <t xml:space="preserve">2026-09-15</t>
  </si>
  <si>
    <t xml:space="preserve">Log Management &amp; Monitoring Audit</t>
  </si>
  <si>
    <t xml:space="preserve">NIST AU-2; ISO A.8.15; SOC CC7</t>
  </si>
  <si>
    <t xml:space="preserve">2026-04-01</t>
  </si>
  <si>
    <t xml:space="preserve">AUD-008</t>
  </si>
  <si>
    <t xml:space="preserve">Purple Team — Operation Fortress</t>
  </si>
  <si>
    <t xml:space="preserve">All Frameworks</t>
  </si>
  <si>
    <t xml:space="preserve">2026-04-15</t>
  </si>
  <si>
    <t xml:space="preserve">2026-10-15</t>
  </si>
  <si>
    <t xml:space="preserve">AUD-009</t>
  </si>
  <si>
    <t xml:space="preserve">DFIR Readiness Assessment</t>
  </si>
  <si>
    <t xml:space="preserve">NIST IR-4; ISO A.5.28; SOC CC7</t>
  </si>
  <si>
    <t xml:space="preserve">2026-05-01</t>
  </si>
  <si>
    <t xml:space="preserve">2026-11-01</t>
  </si>
  <si>
    <t xml:space="preserve">AUD-010</t>
  </si>
  <si>
    <t xml:space="preserve">Annual Security Architecture Review</t>
  </si>
  <si>
    <t xml:space="preserve">2027-06-01</t>
  </si>
  <si>
    <t xml:space="preserve">AUD-011</t>
  </si>
  <si>
    <t xml:space="preserve">SOC 2 Readiness Assessment</t>
  </si>
  <si>
    <t xml:space="preserve">2027-07-01</t>
  </si>
  <si>
    <t xml:space="preserve">AUD-012</t>
  </si>
  <si>
    <t xml:space="preserve">ISO 27001 Gap Assessment</t>
  </si>
  <si>
    <t xml:space="preserve">ISO 27001:2022</t>
  </si>
  <si>
    <t xml:space="preserve">2027-08-01</t>
  </si>
  <si>
    <t xml:space="preserve">AUD-013</t>
  </si>
  <si>
    <t xml:space="preserve">Annual Penetration Test</t>
  </si>
  <si>
    <t xml:space="preserve">NIST CA-2; ISO A.8.34</t>
  </si>
  <si>
    <t xml:space="preserve">2027-09-01</t>
  </si>
  <si>
    <t xml:space="preserve">AUD-014</t>
  </si>
  <si>
    <t xml:space="preserve">Vendor Risk Assessment</t>
  </si>
  <si>
    <t xml:space="preserve">NIST SA-9; ISO A.5.19; SOC CC9</t>
  </si>
  <si>
    <t xml:space="preserve">2027-10-01</t>
  </si>
  <si>
    <t xml:space="preserve">LAB EVIDENCE MAPPING — Foundations_Lab_Final → NIST/ISO/SOC 2</t>
  </si>
  <si>
    <t xml:space="preserve">Source: github.com/binette87/Foundations_Lab_Final  |  12 Weeks · 36 Sessions · All artifacts committed weekly</t>
  </si>
  <si>
    <t xml:space="preserve">Week</t>
  </si>
  <si>
    <t xml:space="preserve">Domain</t>
  </si>
  <si>
    <t xml:space="preserve">Key Artifacts</t>
  </si>
  <si>
    <t xml:space="preserve">Tools Used</t>
  </si>
  <si>
    <t xml:space="preserve">Skills Demonstrated</t>
  </si>
  <si>
    <t xml:space="preserve">GRC Relevance</t>
  </si>
  <si>
    <t xml:space="preserve">Evidence Quality</t>
  </si>
  <si>
    <t xml:space="preserve">01</t>
  </si>
  <si>
    <t xml:space="preserve">Linux Fundamentals</t>
  </si>
  <si>
    <t xml:space="preserve">harden.sh, discovery.txt, setup_verify.txt</t>
  </si>
  <si>
    <t xml:space="preserve">AC-6, CM-6, AC-2</t>
  </si>
  <si>
    <t xml:space="preserve">A.8.2, A.8.9</t>
  </si>
  <si>
    <t xml:space="preserve">CC4.2, CC6.3</t>
  </si>
  <si>
    <t xml:space="preserve">Ubuntu, Bash</t>
  </si>
  <si>
    <t xml:space="preserve">Permission hardening, file system navigation, security automation</t>
  </si>
  <si>
    <t xml:space="preserve">Least privilege; configuration management</t>
  </si>
  <si>
    <t xml:space="preserve">02</t>
  </si>
  <si>
    <t xml:space="preserve">Networking &amp; Protocol Analysis</t>
  </si>
  <si>
    <t xml:space="preserve">network_audit.txt, subnet_blueprint.txt, protocol_audit.txt</t>
  </si>
  <si>
    <t xml:space="preserve">SC-7, SI-4, AU-2</t>
  </si>
  <si>
    <t xml:space="preserve">A.8.20, A.8.15</t>
  </si>
  <si>
    <t xml:space="preserve">CC7.1, CC6.6</t>
  </si>
  <si>
    <t xml:space="preserve">Wireshark, Nmap, UFW</t>
  </si>
  <si>
    <t xml:space="preserve">Network auditing, DNS analysis, subnetting, protocol inspection</t>
  </si>
  <si>
    <t xml:space="preserve">Boundary protection; network monitoring</t>
  </si>
  <si>
    <t xml:space="preserve">03</t>
  </si>
  <si>
    <t xml:space="preserve">Python for Security</t>
  </si>
  <si>
    <t xml:space="preserve">port_check.py, brute_detector.py, system_auditor.py, security_alert.json</t>
  </si>
  <si>
    <t xml:space="preserve">AC-7, SI-4, AU-12</t>
  </si>
  <si>
    <t xml:space="preserve">A.8.16, A.8.15</t>
  </si>
  <si>
    <t xml:space="preserve">CC7.2, CC2.1</t>
  </si>
  <si>
    <t xml:space="preserve">Python 3, JSON</t>
  </si>
  <si>
    <t xml:space="preserve">Brute-force detection, process auditing, JSON structured alerts</t>
  </si>
  <si>
    <t xml:space="preserve">Automated monitoring; incident detection</t>
  </si>
  <si>
    <t xml:space="preserve">Very High</t>
  </si>
  <si>
    <t xml:space="preserve">04</t>
  </si>
  <si>
    <t xml:space="preserve">Docker &amp; Containers</t>
  </si>
  <si>
    <t xml:space="preserve">docker-compose.yml, deploy_web.sh, sandbox_report.txt</t>
  </si>
  <si>
    <t xml:space="preserve">CM-7, SC-28, CM-2</t>
  </si>
  <si>
    <t xml:space="preserve">A.8.9, A.8.22, A.8.25</t>
  </si>
  <si>
    <t xml:space="preserve">CC5.1, CC6.8</t>
  </si>
  <si>
    <t xml:space="preserve">Docker, Docker Compose</t>
  </si>
  <si>
    <t xml:space="preserve">Container hardening, network segmentation, air-gap environments</t>
  </si>
  <si>
    <t xml:space="preserve">Configuration baseline; least functionality</t>
  </si>
  <si>
    <t xml:space="preserve">05</t>
  </si>
  <si>
    <t xml:space="preserve">Identity &amp; Active Directory</t>
  </si>
  <si>
    <t xml:space="preserve">onboard_engineers.ps1, gpo_audit.txt, unified_identity.png</t>
  </si>
  <si>
    <t xml:space="preserve">AC-2, AC-3, IA-2, IA-5</t>
  </si>
  <si>
    <t xml:space="preserve">A.5.15, A.8.2, A.8.5</t>
  </si>
  <si>
    <t xml:space="preserve">CC6.1, CC6.2, CC6.3</t>
  </si>
  <si>
    <t xml:space="preserve">AD, GPO, SSSD, Kerberos</t>
  </si>
  <si>
    <t xml:space="preserve">Account provisioning, RBAC, Linux-AD integration, identity lifecycle</t>
  </si>
  <si>
    <t xml:space="preserve">Identity management; access control</t>
  </si>
  <si>
    <t xml:space="preserve">06</t>
  </si>
  <si>
    <t xml:space="preserve">Midterm Capstone</t>
  </si>
  <si>
    <t xml:space="preserve">HardenedOutpost_SAD.pdf, practical_exam_report.txt, readiness_check.log</t>
  </si>
  <si>
    <t xml:space="preserve">PL-2, CA-2, RA-1</t>
  </si>
  <si>
    <t xml:space="preserve">A.5.1, A.5.2</t>
  </si>
  <si>
    <t xml:space="preserve">CC1.1, CC3.1</t>
  </si>
  <si>
    <t xml:space="preserve">Architecture design, documentation</t>
  </si>
  <si>
    <t xml:space="preserve">Security architecture documentation, forensic exam, system hardening</t>
  </si>
  <si>
    <t xml:space="preserve">Governance; risk assessment; policy</t>
  </si>
  <si>
    <t xml:space="preserve">07</t>
  </si>
  <si>
    <t xml:space="preserve">Recon &amp; Vulnerability Analysis</t>
  </si>
  <si>
    <t xml:space="preserve">ThreatProfile_CloudNano.md, nmap_scan_results.txt, remediation_plan.md</t>
  </si>
  <si>
    <t xml:space="preserve">RA-3, RA-5, CA-5</t>
  </si>
  <si>
    <t xml:space="preserve">A.5.7, A.8.8</t>
  </si>
  <si>
    <t xml:space="preserve">CC3.2, CC7.1</t>
  </si>
  <si>
    <t xml:space="preserve">Nmap, OSINT tools</t>
  </si>
  <si>
    <t xml:space="preserve">Threat profiling, active scanning, CVE research, remediation planning</t>
  </si>
  <si>
    <t xml:space="preserve">Risk assessment; vulnerability management</t>
  </si>
  <si>
    <t xml:space="preserve">08-09</t>
  </si>
  <si>
    <t xml:space="preserve">Exploitation &amp; Post-Exploitation</t>
  </si>
  <si>
    <t xml:space="preserve">sqli_report.txt, xss_payloads.txt, OmniPortal_Assessment.md, Deep_Pivot_Report.md</t>
  </si>
  <si>
    <t xml:space="preserve">SA-11, SI-10, CA-2</t>
  </si>
  <si>
    <t xml:space="preserve">A.8.25, A.8.29</t>
  </si>
  <si>
    <t xml:space="preserve">CC7.3, CC7.4</t>
  </si>
  <si>
    <t xml:space="preserve">Metasploit, Burp Suite, sqlmap</t>
  </si>
  <si>
    <t xml:space="preserve">Web app pentesting, SQL injection, XSS, lateral movement, pivoting</t>
  </si>
  <si>
    <t xml:space="preserve">Application security; developer testing</t>
  </si>
  <si>
    <t xml:space="preserve">10</t>
  </si>
  <si>
    <t xml:space="preserve">Digital Forensics &amp; IR</t>
  </si>
  <si>
    <t xml:space="preserve">attack_timeline.csv, collection_log.txt, forensic_report.pdf, forensic_findings.md</t>
  </si>
  <si>
    <t xml:space="preserve">IR-4, IR-5, IR-6</t>
  </si>
  <si>
    <t xml:space="preserve">A.5.25, A.5.26, A.5.28</t>
  </si>
  <si>
    <t xml:space="preserve">Volatility, Autopsy</t>
  </si>
  <si>
    <t xml:space="preserve">Memory forensics, disk analysis, attack reconstruction, chain-of-custody</t>
  </si>
  <si>
    <t xml:space="preserve">Incident handling; evidence collection</t>
  </si>
  <si>
    <t xml:space="preserve">11</t>
  </si>
  <si>
    <t xml:space="preserve">Active Defense</t>
  </si>
  <si>
    <t xml:space="preserve">firewall_config.sh, custom_ids.rules, edr_policy.xml, threat_ips.txt</t>
  </si>
  <si>
    <t xml:space="preserve">SC-7, SI-3, SI-4</t>
  </si>
  <si>
    <t xml:space="preserve">A.8.7, A.8.16, A.8.20</t>
  </si>
  <si>
    <t xml:space="preserve">CC6.6, CC6.8, CC7.2</t>
  </si>
  <si>
    <t xml:space="preserve">UFW, Suricata, EDR</t>
  </si>
  <si>
    <t xml:space="preserve">Firewall hardening, IDS rule creation, EDR policy, threat hunting</t>
  </si>
  <si>
    <t xml:space="preserve">Boundary protection; malicious code detection</t>
  </si>
  <si>
    <t xml:space="preserve">12</t>
  </si>
  <si>
    <t xml:space="preserve">Final Reckoning</t>
  </si>
  <si>
    <t xml:space="preserve">Incident_Response_Report.md, Operation_Fortress_Report.md, tepp_postmortem.md</t>
  </si>
  <si>
    <t xml:space="preserve">IR-4, IR-8, CA-2</t>
  </si>
  <si>
    <t xml:space="preserve">A.5.24, A.5.26, A.5.27</t>
  </si>
  <si>
    <t xml:space="preserve">CC7.4, CC7.5</t>
  </si>
  <si>
    <t xml:space="preserve">Full security stack</t>
  </si>
  <si>
    <t xml:space="preserve">IR plan execution, purple team ops, post-mortem analysis, escalation</t>
  </si>
  <si>
    <t xml:space="preserve">Incident response; lessons learned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</si>
</sst>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0\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B949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3FB950"/>
      <name val="Arial"/>
      <family val="0"/>
      <charset val="1"/>
    </font>
    <font>
      <b val="true"/>
      <sz val="10"/>
      <color rgb="FFD29922"/>
      <name val="Arial"/>
      <family val="0"/>
      <charset val="1"/>
    </font>
    <font>
      <b val="true"/>
      <sz val="10"/>
      <color rgb="FFF85149"/>
      <name val="Arial"/>
      <family val="0"/>
      <charset val="1"/>
    </font>
    <font>
      <i val="true"/>
      <sz val="10"/>
      <color rgb="FFFB8F44"/>
      <name val="Arial"/>
      <family val="0"/>
      <charset val="1"/>
    </font>
    <font>
      <b val="true"/>
      <sz val="10"/>
      <color rgb="FF58A6FF"/>
      <name val="Arial"/>
      <family val="0"/>
      <charset val="1"/>
    </font>
    <font>
      <b val="true"/>
      <sz val="10"/>
      <color rgb="FFFB8F44"/>
      <name val="Arial"/>
      <family val="0"/>
      <charset val="1"/>
    </font>
    <font>
      <i val="true"/>
      <sz val="9"/>
      <color rgb="FF8B949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58A6FF"/>
      <name val="Courier New"/>
      <family val="0"/>
      <charset val="1"/>
    </font>
    <font>
      <b val="true"/>
      <sz val="10"/>
      <color rgb="FF3FB950"/>
      <name val="Courier New"/>
      <family val="0"/>
      <charset val="1"/>
    </font>
    <font>
      <sz val="10"/>
      <color rgb="FF8B949E"/>
      <name val="Arial"/>
      <family val="0"/>
      <charset val="1"/>
    </font>
    <font>
      <b val="true"/>
      <sz val="10"/>
      <color rgb="FF8B949E"/>
      <name val="Arial"/>
      <family val="0"/>
      <charset val="1"/>
    </font>
    <font>
      <b val="true"/>
      <sz val="10"/>
      <color rgb="FFA371F7"/>
      <name val="Courier New"/>
      <family val="0"/>
      <charset val="1"/>
    </font>
    <font>
      <b val="true"/>
      <sz val="11"/>
      <color rgb="FF58A6FF"/>
      <name val="Arial"/>
      <family val="0"/>
      <charset val="1"/>
    </font>
    <font>
      <b val="true"/>
      <sz val="10"/>
      <color rgb="FFFF6B6B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0078D4"/>
        <bgColor rgb="FF005080"/>
      </patternFill>
    </fill>
    <fill>
      <patternFill patternType="solid">
        <fgColor rgb="FF161B22"/>
        <bgColor rgb="FF0D1117"/>
      </patternFill>
    </fill>
    <fill>
      <patternFill patternType="solid">
        <fgColor rgb="FF0D1117"/>
        <bgColor rgb="FF161B22"/>
      </patternFill>
    </fill>
    <fill>
      <patternFill patternType="solid">
        <fgColor rgb="FF005A3C"/>
        <bgColor rgb="FF1A6030"/>
      </patternFill>
    </fill>
    <fill>
      <patternFill patternType="solid">
        <fgColor rgb="FF4B1C8C"/>
        <bgColor rgb="FF4A2030"/>
      </patternFill>
    </fill>
    <fill>
      <patternFill patternType="solid">
        <fgColor rgb="FF6B0000"/>
        <bgColor rgb="FF6A2010"/>
      </patternFill>
    </fill>
    <fill>
      <patternFill patternType="solid">
        <fgColor rgb="FF1A5A1A"/>
        <bgColor rgb="FF1A6030"/>
      </patternFill>
    </fill>
    <fill>
      <patternFill patternType="solid">
        <fgColor rgb="FF1A3A1F"/>
        <bgColor rgb="FF30363D"/>
      </patternFill>
    </fill>
    <fill>
      <patternFill patternType="solid">
        <fgColor rgb="FF3D2E00"/>
        <bgColor rgb="FF3A1F00"/>
      </patternFill>
    </fill>
    <fill>
      <patternFill patternType="solid">
        <fgColor rgb="FF3A1A1A"/>
        <bgColor rgb="FF3A1F00"/>
      </patternFill>
    </fill>
    <fill>
      <patternFill patternType="solid">
        <fgColor rgb="FF21262D"/>
        <bgColor rgb="FF161B22"/>
      </patternFill>
    </fill>
    <fill>
      <patternFill patternType="solid">
        <fgColor rgb="FF0D2A40"/>
        <bgColor rgb="FF21262D"/>
      </patternFill>
    </fill>
    <fill>
      <patternFill patternType="solid">
        <fgColor rgb="FF3A1F00"/>
        <bgColor rgb="FF3A1A1A"/>
      </patternFill>
    </fill>
    <fill>
      <patternFill patternType="solid">
        <fgColor rgb="FF005080"/>
        <bgColor rgb="FF1A5060"/>
      </patternFill>
    </fill>
    <fill>
      <patternFill patternType="solid">
        <fgColor rgb="FF3A0A0A"/>
        <bgColor rgb="FF3A1A1A"/>
      </patternFill>
    </fill>
    <fill>
      <patternFill patternType="solid">
        <fgColor rgb="FF5A5A00"/>
        <bgColor rgb="FF4A5010"/>
      </patternFill>
    </fill>
    <fill>
      <patternFill patternType="solid">
        <fgColor rgb="FF1A3A5C"/>
        <bgColor rgb="FF1A4060"/>
      </patternFill>
    </fill>
    <fill>
      <patternFill patternType="solid">
        <fgColor rgb="FF1A3060"/>
        <bgColor rgb="FF1A3A5C"/>
      </patternFill>
    </fill>
    <fill>
      <patternFill patternType="solid">
        <fgColor rgb="FF1A4060"/>
        <bgColor rgb="FF1A3A5C"/>
      </patternFill>
    </fill>
    <fill>
      <patternFill patternType="solid">
        <fgColor rgb="FF1A5060"/>
        <bgColor rgb="FF1A4060"/>
      </patternFill>
    </fill>
    <fill>
      <patternFill patternType="solid">
        <fgColor rgb="FF1A6050"/>
        <bgColor rgb="FF1A6030"/>
      </patternFill>
    </fill>
    <fill>
      <patternFill patternType="solid">
        <fgColor rgb="FF1A6030"/>
        <bgColor rgb="FF1A5A1A"/>
      </patternFill>
    </fill>
    <fill>
      <patternFill patternType="solid">
        <fgColor rgb="FF3A6020"/>
        <bgColor rgb="FF4A5010"/>
      </patternFill>
    </fill>
    <fill>
      <patternFill patternType="solid">
        <fgColor rgb="FF4A5010"/>
        <bgColor rgb="FF5A5A00"/>
      </patternFill>
    </fill>
    <fill>
      <patternFill patternType="solid">
        <fgColor rgb="FF5A3010"/>
        <bgColor rgb="FF5A2020"/>
      </patternFill>
    </fill>
    <fill>
      <patternFill patternType="solid">
        <fgColor rgb="FF6A2010"/>
        <bgColor rgb="FF5A2020"/>
      </patternFill>
    </fill>
    <fill>
      <patternFill patternType="solid">
        <fgColor rgb="FF5A2020"/>
        <bgColor rgb="FF4A2030"/>
      </patternFill>
    </fill>
    <fill>
      <patternFill patternType="solid">
        <fgColor rgb="FF4A2030"/>
        <bgColor rgb="FF5A20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3A1F00"/>
      <rgbColor rgb="FF00FF00"/>
      <rgbColor rgb="FF1A3A5C"/>
      <rgbColor rgb="FFFFFF00"/>
      <rgbColor rgb="FF21262D"/>
      <rgbColor rgb="FF00FFFF"/>
      <rgbColor rgb="FF6B0000"/>
      <rgbColor rgb="FF1A6030"/>
      <rgbColor rgb="FF0D1117"/>
      <rgbColor rgb="FF5A5A00"/>
      <rgbColor rgb="FF3A1A1A"/>
      <rgbColor rgb="FF1A6050"/>
      <rgbColor rgb="FFC0C0C0"/>
      <rgbColor rgb="FF1A5060"/>
      <rgbColor rgb="FFA371F7"/>
      <rgbColor rgb="FF5A2020"/>
      <rgbColor rgb="FFFFFFCC"/>
      <rgbColor rgb="FFCCFFFF"/>
      <rgbColor rgb="FF4A2030"/>
      <rgbColor rgb="FFFF6B6B"/>
      <rgbColor rgb="FF0078D4"/>
      <rgbColor rgb="FFCCCCFF"/>
      <rgbColor rgb="FF0D2A40"/>
      <rgbColor rgb="FF161B22"/>
      <rgbColor rgb="FFFFFF00"/>
      <rgbColor rgb="FF00FFFF"/>
      <rgbColor rgb="FF3A0A0A"/>
      <rgbColor rgb="FF6A2010"/>
      <rgbColor rgb="FF005A3C"/>
      <rgbColor rgb="FF1A4060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005080"/>
      <rgbColor rgb="FF58A6FF"/>
      <rgbColor rgb="FF1A5A1A"/>
      <rgbColor rgb="FFD29922"/>
      <rgbColor rgb="FFFB8F44"/>
      <rgbColor rgb="FFF85149"/>
      <rgbColor rgb="FF3A6020"/>
      <rgbColor rgb="FF8B949E"/>
      <rgbColor rgb="FF1A3060"/>
      <rgbColor rgb="FF3FB950"/>
      <rgbColor rgb="FF1A3A1F"/>
      <rgbColor rgb="FF3D2E00"/>
      <rgbColor rgb="FF5A3010"/>
      <rgbColor rgb="FF4A5010"/>
      <rgbColor rgb="FF4B1C8C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10" min="4" style="0" width="8"/>
    <col collapsed="false" customWidth="true" hidden="false" outlineLevel="0" max="25" min="11" style="0" width="1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5" t="s">
        <v>3</v>
      </c>
      <c r="G4" s="5"/>
      <c r="H4" s="5"/>
      <c r="I4" s="5"/>
      <c r="J4" s="5"/>
      <c r="K4" s="6" t="s">
        <v>4</v>
      </c>
      <c r="L4" s="6"/>
      <c r="M4" s="6"/>
      <c r="N4" s="6"/>
      <c r="O4" s="6"/>
      <c r="P4" s="7" t="s">
        <v>5</v>
      </c>
      <c r="Q4" s="7"/>
      <c r="R4" s="7"/>
      <c r="S4" s="7"/>
      <c r="T4" s="7"/>
      <c r="U4" s="8" t="s">
        <v>6</v>
      </c>
      <c r="V4" s="8"/>
      <c r="W4" s="8"/>
      <c r="X4" s="8"/>
      <c r="Y4" s="8"/>
    </row>
    <row r="5" customFormat="false" ht="18" hidden="false" customHeight="true" outlineLevel="0" collapsed="false">
      <c r="A5" s="4"/>
      <c r="B5" s="4"/>
      <c r="C5" s="4"/>
      <c r="D5" s="4"/>
      <c r="E5" s="4"/>
      <c r="F5" s="5"/>
      <c r="G5" s="5"/>
      <c r="H5" s="5"/>
      <c r="I5" s="5"/>
      <c r="J5" s="5"/>
      <c r="K5" s="6"/>
      <c r="L5" s="6"/>
      <c r="M5" s="6"/>
      <c r="N5" s="6"/>
      <c r="O5" s="6"/>
      <c r="P5" s="7"/>
      <c r="Q5" s="7"/>
      <c r="R5" s="7"/>
      <c r="S5" s="7"/>
      <c r="T5" s="7"/>
      <c r="U5" s="8"/>
      <c r="V5" s="8"/>
      <c r="W5" s="8"/>
      <c r="X5" s="8"/>
      <c r="Y5" s="8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21.75" hidden="false" customHeight="true" outlineLevel="0" collapsed="false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customFormat="false" ht="21.75" hidden="false" customHeight="true" outlineLevel="0" collapsed="false">
      <c r="A8" s="10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10" t="s">
        <v>14</v>
      </c>
      <c r="H8" s="10" t="s">
        <v>15</v>
      </c>
      <c r="I8" s="10" t="s">
        <v>16</v>
      </c>
      <c r="J8" s="10" t="s">
        <v>17</v>
      </c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8" hidden="false" customHeight="true" outlineLevel="0" collapsed="false">
      <c r="A9" s="10" t="s">
        <v>18</v>
      </c>
      <c r="B9" s="11" t="s">
        <v>19</v>
      </c>
      <c r="C9" s="11" t="n">
        <v>42</v>
      </c>
      <c r="D9" s="12" t="n">
        <v>28</v>
      </c>
      <c r="E9" s="13" t="n">
        <v>10</v>
      </c>
      <c r="F9" s="14" t="n">
        <v>4</v>
      </c>
      <c r="G9" s="15" t="n">
        <f aca="false">D9/C9*100</f>
        <v>66.6666666666667</v>
      </c>
      <c r="H9" s="16" t="n">
        <v>80</v>
      </c>
      <c r="I9" s="16" t="n">
        <f aca="false">H9-G9</f>
        <v>13.3333333333333</v>
      </c>
      <c r="J9" s="11" t="s">
        <v>20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8" hidden="false" customHeight="true" outlineLevel="0" collapsed="false">
      <c r="A10" s="17" t="s">
        <v>21</v>
      </c>
      <c r="B10" s="11" t="s">
        <v>22</v>
      </c>
      <c r="C10" s="11" t="n">
        <v>35</v>
      </c>
      <c r="D10" s="12" t="n">
        <v>24</v>
      </c>
      <c r="E10" s="13" t="n">
        <v>8</v>
      </c>
      <c r="F10" s="14" t="n">
        <v>3</v>
      </c>
      <c r="G10" s="15" t="n">
        <f aca="false">D10/C10*100</f>
        <v>68.5714285714286</v>
      </c>
      <c r="H10" s="16" t="n">
        <v>80</v>
      </c>
      <c r="I10" s="16" t="n">
        <f aca="false">H10-G10</f>
        <v>11.4285714285714</v>
      </c>
      <c r="J10" s="11" t="s">
        <v>20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8" hidden="false" customHeight="true" outlineLevel="0" collapsed="false">
      <c r="A11" s="18" t="s">
        <v>23</v>
      </c>
      <c r="B11" s="11" t="s">
        <v>24</v>
      </c>
      <c r="C11" s="11" t="n">
        <v>30</v>
      </c>
      <c r="D11" s="12" t="n">
        <v>21</v>
      </c>
      <c r="E11" s="13" t="n">
        <v>7</v>
      </c>
      <c r="F11" s="14" t="n">
        <v>2</v>
      </c>
      <c r="G11" s="15" t="n">
        <f aca="false">D11/C11*100</f>
        <v>70</v>
      </c>
      <c r="H11" s="16" t="n">
        <v>80</v>
      </c>
      <c r="I11" s="16" t="n">
        <f aca="false">H11-G11</f>
        <v>10</v>
      </c>
      <c r="J11" s="11" t="s">
        <v>20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21.75" hidden="false" customHeight="true" outlineLevel="0" collapsed="false">
      <c r="A13" s="9" t="s">
        <v>25</v>
      </c>
      <c r="B13" s="9"/>
      <c r="C13" s="9"/>
      <c r="D13" s="9"/>
      <c r="E13" s="9"/>
      <c r="F13" s="9"/>
      <c r="G13" s="9"/>
      <c r="H13" s="9"/>
      <c r="I13" s="9"/>
      <c r="J13" s="9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21.75" hidden="false" customHeight="true" outlineLevel="0" collapsed="false">
      <c r="A14" s="19" t="s">
        <v>26</v>
      </c>
      <c r="B14" s="19" t="s">
        <v>27</v>
      </c>
      <c r="C14" s="19" t="s">
        <v>28</v>
      </c>
      <c r="D14" s="19" t="s">
        <v>29</v>
      </c>
      <c r="E14" s="19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8" hidden="false" customHeight="true" outlineLevel="0" collapsed="false">
      <c r="A15" s="19" t="s">
        <v>31</v>
      </c>
      <c r="B15" s="12" t="s">
        <v>32</v>
      </c>
      <c r="C15" s="20" t="s">
        <v>33</v>
      </c>
      <c r="D15" s="21" t="s">
        <v>34</v>
      </c>
      <c r="E15" s="22" t="s">
        <v>35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8" hidden="false" customHeight="true" outlineLevel="0" collapsed="false">
      <c r="A16" s="19" t="s">
        <v>36</v>
      </c>
      <c r="B16" s="12" t="s">
        <v>37</v>
      </c>
      <c r="C16" s="20" t="s">
        <v>33</v>
      </c>
      <c r="D16" s="21" t="s">
        <v>38</v>
      </c>
      <c r="E16" s="22" t="s">
        <v>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8" hidden="false" customHeight="true" outlineLevel="0" collapsed="false">
      <c r="A17" s="19" t="s">
        <v>40</v>
      </c>
      <c r="B17" s="12" t="s">
        <v>41</v>
      </c>
      <c r="C17" s="23" t="s">
        <v>42</v>
      </c>
      <c r="D17" s="21" t="s">
        <v>43</v>
      </c>
      <c r="E17" s="22" t="s">
        <v>44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8" hidden="false" customHeight="true" outlineLevel="0" collapsed="false">
      <c r="A18" s="19" t="s">
        <v>45</v>
      </c>
      <c r="B18" s="12" t="s">
        <v>46</v>
      </c>
      <c r="C18" s="23" t="s">
        <v>42</v>
      </c>
      <c r="D18" s="21" t="s">
        <v>47</v>
      </c>
      <c r="E18" s="22" t="s">
        <v>48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Format="false" ht="18" hidden="false" customHeight="true" outlineLevel="0" collapsed="false">
      <c r="A19" s="19" t="s">
        <v>49</v>
      </c>
      <c r="B19" s="13" t="s">
        <v>50</v>
      </c>
      <c r="C19" s="23" t="s">
        <v>42</v>
      </c>
      <c r="D19" s="21" t="s">
        <v>51</v>
      </c>
      <c r="E19" s="22" t="s">
        <v>52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8" hidden="false" customHeight="true" outlineLevel="0" collapsed="false">
      <c r="A20" s="19" t="s">
        <v>53</v>
      </c>
      <c r="B20" s="13" t="s">
        <v>54</v>
      </c>
      <c r="C20" s="23" t="s">
        <v>55</v>
      </c>
      <c r="D20" s="21" t="s">
        <v>56</v>
      </c>
      <c r="E20" s="22" t="s">
        <v>57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Format="false" ht="18" hidden="false" customHeight="true" outlineLevel="0" collapsed="false">
      <c r="A21" s="19" t="s">
        <v>58</v>
      </c>
      <c r="B21" s="13" t="s">
        <v>59</v>
      </c>
      <c r="C21" s="23" t="s">
        <v>55</v>
      </c>
      <c r="D21" s="21" t="s">
        <v>60</v>
      </c>
      <c r="E21" s="22" t="s">
        <v>61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8" hidden="false" customHeight="true" outlineLevel="0" collapsed="false">
      <c r="A22" s="19" t="s">
        <v>62</v>
      </c>
      <c r="B22" s="14" t="s">
        <v>63</v>
      </c>
      <c r="C22" s="24" t="s">
        <v>64</v>
      </c>
      <c r="D22" s="21" t="s">
        <v>65</v>
      </c>
      <c r="E22" s="22" t="s">
        <v>66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22.35" hidden="false" customHeight="true" outlineLevel="0" collapsed="false">
      <c r="A24" s="25" t="s">
        <v>67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</sheetData>
  <mergeCells count="10">
    <mergeCell ref="A1:T1"/>
    <mergeCell ref="A2:T2"/>
    <mergeCell ref="A4:E5"/>
    <mergeCell ref="F4:J5"/>
    <mergeCell ref="K4:O5"/>
    <mergeCell ref="P4:T5"/>
    <mergeCell ref="U4:Y5"/>
    <mergeCell ref="A7:Y7"/>
    <mergeCell ref="A13:J13"/>
    <mergeCell ref="A24:Y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0"/>
  </cols>
  <sheetData>
    <row r="1" customFormat="false" ht="31.5" hidden="false" customHeight="true" outlineLevel="0" collapsed="false">
      <c r="A1" s="26" t="s">
        <v>68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18" hidden="false" customHeight="tru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10" t="s">
        <v>70</v>
      </c>
      <c r="B3" s="10" t="s">
        <v>71</v>
      </c>
      <c r="C3" s="10" t="s">
        <v>72</v>
      </c>
      <c r="D3" s="10" t="s">
        <v>73</v>
      </c>
      <c r="E3" s="10" t="s">
        <v>17</v>
      </c>
      <c r="F3" s="10" t="s">
        <v>74</v>
      </c>
      <c r="G3" s="10" t="s">
        <v>75</v>
      </c>
      <c r="H3" s="10" t="s">
        <v>76</v>
      </c>
      <c r="I3" s="10" t="s">
        <v>77</v>
      </c>
      <c r="J3" s="10" t="s">
        <v>78</v>
      </c>
      <c r="K3" s="10" t="s">
        <v>79</v>
      </c>
      <c r="L3" s="10" t="s">
        <v>80</v>
      </c>
    </row>
    <row r="4" customFormat="false" ht="15.75" hidden="false" customHeight="true" outlineLevel="0" collapsed="false">
      <c r="A4" s="27" t="s">
        <v>81</v>
      </c>
      <c r="B4" s="21" t="s">
        <v>82</v>
      </c>
      <c r="C4" s="21" t="s">
        <v>83</v>
      </c>
      <c r="D4" s="11" t="s">
        <v>84</v>
      </c>
      <c r="E4" s="12" t="s">
        <v>11</v>
      </c>
      <c r="F4" s="21" t="s">
        <v>85</v>
      </c>
      <c r="G4" s="21" t="s">
        <v>86</v>
      </c>
      <c r="H4" s="21" t="s">
        <v>87</v>
      </c>
      <c r="I4" s="11" t="s">
        <v>88</v>
      </c>
      <c r="J4" s="11" t="s">
        <v>89</v>
      </c>
      <c r="K4" s="14" t="s">
        <v>90</v>
      </c>
      <c r="L4" s="12" t="s">
        <v>91</v>
      </c>
    </row>
    <row r="5" customFormat="false" ht="15.75" hidden="false" customHeight="true" outlineLevel="0" collapsed="false">
      <c r="A5" s="27" t="s">
        <v>92</v>
      </c>
      <c r="B5" s="21" t="s">
        <v>82</v>
      </c>
      <c r="C5" s="21" t="s">
        <v>93</v>
      </c>
      <c r="D5" s="11" t="s">
        <v>84</v>
      </c>
      <c r="E5" s="12" t="s">
        <v>11</v>
      </c>
      <c r="F5" s="21" t="s">
        <v>94</v>
      </c>
      <c r="G5" s="21" t="s">
        <v>86</v>
      </c>
      <c r="H5" s="21" t="s">
        <v>95</v>
      </c>
      <c r="I5" s="11" t="s">
        <v>88</v>
      </c>
      <c r="J5" s="11" t="s">
        <v>96</v>
      </c>
      <c r="K5" s="14" t="s">
        <v>90</v>
      </c>
      <c r="L5" s="12" t="s">
        <v>91</v>
      </c>
    </row>
    <row r="6" customFormat="false" ht="15.75" hidden="false" customHeight="true" outlineLevel="0" collapsed="false">
      <c r="A6" s="27" t="s">
        <v>97</v>
      </c>
      <c r="B6" s="21" t="s">
        <v>82</v>
      </c>
      <c r="C6" s="21" t="s">
        <v>98</v>
      </c>
      <c r="D6" s="11" t="s">
        <v>84</v>
      </c>
      <c r="E6" s="12" t="s">
        <v>11</v>
      </c>
      <c r="F6" s="21" t="s">
        <v>99</v>
      </c>
      <c r="G6" s="21" t="s">
        <v>100</v>
      </c>
      <c r="H6" s="21" t="s">
        <v>101</v>
      </c>
      <c r="I6" s="11" t="s">
        <v>102</v>
      </c>
      <c r="J6" s="11" t="s">
        <v>96</v>
      </c>
      <c r="K6" s="14" t="s">
        <v>90</v>
      </c>
      <c r="L6" s="12" t="s">
        <v>91</v>
      </c>
    </row>
    <row r="7" customFormat="false" ht="15.75" hidden="false" customHeight="true" outlineLevel="0" collapsed="false">
      <c r="A7" s="27" t="s">
        <v>103</v>
      </c>
      <c r="B7" s="21" t="s">
        <v>82</v>
      </c>
      <c r="C7" s="21" t="s">
        <v>104</v>
      </c>
      <c r="D7" s="11" t="s">
        <v>84</v>
      </c>
      <c r="E7" s="12" t="s">
        <v>11</v>
      </c>
      <c r="F7" s="21" t="s">
        <v>105</v>
      </c>
      <c r="G7" s="21" t="s">
        <v>106</v>
      </c>
      <c r="H7" s="21" t="s">
        <v>107</v>
      </c>
      <c r="I7" s="11" t="s">
        <v>108</v>
      </c>
      <c r="J7" s="11" t="s">
        <v>109</v>
      </c>
      <c r="K7" s="14" t="s">
        <v>90</v>
      </c>
      <c r="L7" s="12" t="s">
        <v>91</v>
      </c>
    </row>
    <row r="8" customFormat="false" ht="15.75" hidden="false" customHeight="true" outlineLevel="0" collapsed="false">
      <c r="A8" s="27" t="s">
        <v>110</v>
      </c>
      <c r="B8" s="21" t="s">
        <v>82</v>
      </c>
      <c r="C8" s="21" t="s">
        <v>111</v>
      </c>
      <c r="D8" s="11" t="s">
        <v>84</v>
      </c>
      <c r="E8" s="13" t="s">
        <v>12</v>
      </c>
      <c r="F8" s="21" t="s">
        <v>94</v>
      </c>
      <c r="G8" s="21" t="s">
        <v>86</v>
      </c>
      <c r="H8" s="21" t="s">
        <v>112</v>
      </c>
      <c r="I8" s="11" t="s">
        <v>113</v>
      </c>
      <c r="J8" s="11" t="s">
        <v>89</v>
      </c>
      <c r="K8" s="13" t="s">
        <v>114</v>
      </c>
      <c r="L8" s="13" t="s">
        <v>12</v>
      </c>
    </row>
    <row r="9" customFormat="false" ht="15.75" hidden="false" customHeight="true" outlineLevel="0" collapsed="false">
      <c r="A9" s="27" t="s">
        <v>115</v>
      </c>
      <c r="B9" s="21" t="s">
        <v>82</v>
      </c>
      <c r="C9" s="21" t="s">
        <v>116</v>
      </c>
      <c r="D9" s="11" t="s">
        <v>84</v>
      </c>
      <c r="E9" s="13" t="s">
        <v>12</v>
      </c>
      <c r="F9" s="21" t="s">
        <v>117</v>
      </c>
      <c r="G9" s="21" t="s">
        <v>118</v>
      </c>
      <c r="H9" s="21" t="s">
        <v>119</v>
      </c>
      <c r="I9" s="11" t="s">
        <v>120</v>
      </c>
      <c r="J9" s="11" t="s">
        <v>121</v>
      </c>
      <c r="K9" s="13" t="s">
        <v>114</v>
      </c>
      <c r="L9" s="13" t="s">
        <v>12</v>
      </c>
    </row>
    <row r="10" customFormat="false" ht="15.75" hidden="false" customHeight="true" outlineLevel="0" collapsed="false">
      <c r="A10" s="27" t="s">
        <v>122</v>
      </c>
      <c r="B10" s="21" t="s">
        <v>82</v>
      </c>
      <c r="C10" s="21" t="s">
        <v>123</v>
      </c>
      <c r="D10" s="11" t="s">
        <v>84</v>
      </c>
      <c r="E10" s="14" t="s">
        <v>13</v>
      </c>
      <c r="F10" s="21"/>
      <c r="G10" s="21" t="s">
        <v>124</v>
      </c>
      <c r="H10" s="21" t="s">
        <v>125</v>
      </c>
      <c r="I10" s="11" t="s">
        <v>126</v>
      </c>
      <c r="J10" s="11" t="s">
        <v>127</v>
      </c>
      <c r="K10" s="12" t="s">
        <v>128</v>
      </c>
      <c r="L10" s="14" t="s">
        <v>129</v>
      </c>
    </row>
    <row r="11" customFormat="false" ht="15.75" hidden="false" customHeight="true" outlineLevel="0" collapsed="false">
      <c r="A11" s="27" t="s">
        <v>130</v>
      </c>
      <c r="B11" s="21" t="s">
        <v>131</v>
      </c>
      <c r="C11" s="21" t="s">
        <v>132</v>
      </c>
      <c r="D11" s="11" t="s">
        <v>84</v>
      </c>
      <c r="E11" s="12" t="s">
        <v>11</v>
      </c>
      <c r="F11" s="21" t="s">
        <v>133</v>
      </c>
      <c r="G11" s="21" t="s">
        <v>118</v>
      </c>
      <c r="H11" s="21" t="s">
        <v>134</v>
      </c>
      <c r="I11" s="11" t="s">
        <v>135</v>
      </c>
      <c r="J11" s="11" t="s">
        <v>109</v>
      </c>
      <c r="K11" s="14" t="s">
        <v>90</v>
      </c>
      <c r="L11" s="12" t="s">
        <v>91</v>
      </c>
    </row>
    <row r="12" customFormat="false" ht="15.75" hidden="false" customHeight="true" outlineLevel="0" collapsed="false">
      <c r="A12" s="27" t="s">
        <v>136</v>
      </c>
      <c r="B12" s="21" t="s">
        <v>131</v>
      </c>
      <c r="C12" s="21" t="s">
        <v>137</v>
      </c>
      <c r="D12" s="11" t="s">
        <v>84</v>
      </c>
      <c r="E12" s="12" t="s">
        <v>11</v>
      </c>
      <c r="F12" s="21" t="s">
        <v>138</v>
      </c>
      <c r="G12" s="21" t="s">
        <v>106</v>
      </c>
      <c r="H12" s="21" t="s">
        <v>139</v>
      </c>
      <c r="I12" s="11" t="s">
        <v>135</v>
      </c>
      <c r="J12" s="11" t="s">
        <v>140</v>
      </c>
      <c r="K12" s="13" t="s">
        <v>114</v>
      </c>
      <c r="L12" s="12" t="s">
        <v>91</v>
      </c>
    </row>
    <row r="13" customFormat="false" ht="15.75" hidden="false" customHeight="true" outlineLevel="0" collapsed="false">
      <c r="A13" s="27" t="s">
        <v>141</v>
      </c>
      <c r="B13" s="21" t="s">
        <v>131</v>
      </c>
      <c r="C13" s="21" t="s">
        <v>142</v>
      </c>
      <c r="D13" s="11" t="s">
        <v>84</v>
      </c>
      <c r="E13" s="12" t="s">
        <v>11</v>
      </c>
      <c r="F13" s="21" t="s">
        <v>105</v>
      </c>
      <c r="G13" s="21" t="s">
        <v>106</v>
      </c>
      <c r="H13" s="21" t="s">
        <v>143</v>
      </c>
      <c r="I13" s="11" t="s">
        <v>108</v>
      </c>
      <c r="J13" s="11" t="s">
        <v>109</v>
      </c>
      <c r="K13" s="14" t="s">
        <v>90</v>
      </c>
      <c r="L13" s="12" t="s">
        <v>91</v>
      </c>
    </row>
    <row r="14" customFormat="false" ht="15.75" hidden="false" customHeight="true" outlineLevel="0" collapsed="false">
      <c r="A14" s="27" t="s">
        <v>144</v>
      </c>
      <c r="B14" s="21" t="s">
        <v>131</v>
      </c>
      <c r="C14" s="21" t="s">
        <v>145</v>
      </c>
      <c r="D14" s="11" t="s">
        <v>84</v>
      </c>
      <c r="E14" s="13" t="s">
        <v>12</v>
      </c>
      <c r="F14" s="21" t="s">
        <v>117</v>
      </c>
      <c r="G14" s="21" t="s">
        <v>118</v>
      </c>
      <c r="H14" s="21" t="s">
        <v>146</v>
      </c>
      <c r="I14" s="11" t="s">
        <v>135</v>
      </c>
      <c r="J14" s="11" t="s">
        <v>147</v>
      </c>
      <c r="K14" s="14" t="s">
        <v>90</v>
      </c>
      <c r="L14" s="13" t="s">
        <v>12</v>
      </c>
    </row>
    <row r="15" customFormat="false" ht="15.75" hidden="false" customHeight="true" outlineLevel="0" collapsed="false">
      <c r="A15" s="27" t="s">
        <v>148</v>
      </c>
      <c r="B15" s="21" t="s">
        <v>131</v>
      </c>
      <c r="C15" s="21" t="s">
        <v>149</v>
      </c>
      <c r="D15" s="11" t="s">
        <v>84</v>
      </c>
      <c r="E15" s="12" t="s">
        <v>11</v>
      </c>
      <c r="F15" s="21" t="s">
        <v>150</v>
      </c>
      <c r="G15" s="21" t="s">
        <v>106</v>
      </c>
      <c r="H15" s="21" t="s">
        <v>151</v>
      </c>
      <c r="I15" s="11" t="s">
        <v>135</v>
      </c>
      <c r="J15" s="11" t="s">
        <v>140</v>
      </c>
      <c r="K15" s="14" t="s">
        <v>90</v>
      </c>
      <c r="L15" s="12" t="s">
        <v>91</v>
      </c>
    </row>
    <row r="16" customFormat="false" ht="15.75" hidden="false" customHeight="true" outlineLevel="0" collapsed="false">
      <c r="A16" s="27" t="s">
        <v>152</v>
      </c>
      <c r="B16" s="21" t="s">
        <v>153</v>
      </c>
      <c r="C16" s="21" t="s">
        <v>154</v>
      </c>
      <c r="D16" s="11" t="s">
        <v>84</v>
      </c>
      <c r="E16" s="12" t="s">
        <v>11</v>
      </c>
      <c r="F16" s="21" t="s">
        <v>155</v>
      </c>
      <c r="G16" s="21" t="s">
        <v>156</v>
      </c>
      <c r="H16" s="21" t="s">
        <v>157</v>
      </c>
      <c r="I16" s="11" t="s">
        <v>158</v>
      </c>
      <c r="J16" s="11" t="s">
        <v>159</v>
      </c>
      <c r="K16" s="14" t="s">
        <v>90</v>
      </c>
      <c r="L16" s="12" t="s">
        <v>91</v>
      </c>
    </row>
    <row r="17" customFormat="false" ht="15.75" hidden="false" customHeight="true" outlineLevel="0" collapsed="false">
      <c r="A17" s="27" t="s">
        <v>160</v>
      </c>
      <c r="B17" s="21" t="s">
        <v>153</v>
      </c>
      <c r="C17" s="21" t="s">
        <v>161</v>
      </c>
      <c r="D17" s="11" t="s">
        <v>84</v>
      </c>
      <c r="E17" s="12" t="s">
        <v>11</v>
      </c>
      <c r="F17" s="21" t="s">
        <v>162</v>
      </c>
      <c r="G17" s="21" t="s">
        <v>156</v>
      </c>
      <c r="H17" s="21" t="s">
        <v>163</v>
      </c>
      <c r="I17" s="11" t="s">
        <v>164</v>
      </c>
      <c r="J17" s="11" t="s">
        <v>165</v>
      </c>
      <c r="K17" s="14" t="s">
        <v>90</v>
      </c>
      <c r="L17" s="12" t="s">
        <v>91</v>
      </c>
    </row>
    <row r="18" customFormat="false" ht="15.75" hidden="false" customHeight="true" outlineLevel="0" collapsed="false">
      <c r="A18" s="27" t="s">
        <v>166</v>
      </c>
      <c r="B18" s="21" t="s">
        <v>153</v>
      </c>
      <c r="C18" s="21" t="s">
        <v>167</v>
      </c>
      <c r="D18" s="11" t="s">
        <v>84</v>
      </c>
      <c r="E18" s="13" t="s">
        <v>12</v>
      </c>
      <c r="F18" s="21" t="s">
        <v>133</v>
      </c>
      <c r="G18" s="21" t="s">
        <v>118</v>
      </c>
      <c r="H18" s="21" t="s">
        <v>168</v>
      </c>
      <c r="I18" s="11" t="s">
        <v>108</v>
      </c>
      <c r="J18" s="11" t="s">
        <v>109</v>
      </c>
      <c r="K18" s="14" t="s">
        <v>90</v>
      </c>
      <c r="L18" s="13" t="s">
        <v>12</v>
      </c>
    </row>
    <row r="19" customFormat="false" ht="15.75" hidden="false" customHeight="true" outlineLevel="0" collapsed="false">
      <c r="A19" s="27" t="s">
        <v>169</v>
      </c>
      <c r="B19" s="21" t="s">
        <v>170</v>
      </c>
      <c r="C19" s="21" t="s">
        <v>171</v>
      </c>
      <c r="D19" s="11" t="s">
        <v>84</v>
      </c>
      <c r="E19" s="12" t="s">
        <v>11</v>
      </c>
      <c r="F19" s="21" t="s">
        <v>172</v>
      </c>
      <c r="G19" s="21" t="s">
        <v>173</v>
      </c>
      <c r="H19" s="21" t="s">
        <v>174</v>
      </c>
      <c r="I19" s="11" t="s">
        <v>175</v>
      </c>
      <c r="J19" s="11" t="s">
        <v>176</v>
      </c>
      <c r="K19" s="14" t="s">
        <v>90</v>
      </c>
      <c r="L19" s="12" t="s">
        <v>91</v>
      </c>
    </row>
    <row r="20" customFormat="false" ht="15.75" hidden="false" customHeight="true" outlineLevel="0" collapsed="false">
      <c r="A20" s="27" t="s">
        <v>177</v>
      </c>
      <c r="B20" s="21" t="s">
        <v>170</v>
      </c>
      <c r="C20" s="21" t="s">
        <v>178</v>
      </c>
      <c r="D20" s="11" t="s">
        <v>84</v>
      </c>
      <c r="E20" s="12" t="s">
        <v>11</v>
      </c>
      <c r="F20" s="21" t="s">
        <v>99</v>
      </c>
      <c r="G20" s="21" t="s">
        <v>100</v>
      </c>
      <c r="H20" s="21" t="s">
        <v>179</v>
      </c>
      <c r="I20" s="11" t="s">
        <v>175</v>
      </c>
      <c r="J20" s="11" t="s">
        <v>180</v>
      </c>
      <c r="K20" s="14" t="s">
        <v>90</v>
      </c>
      <c r="L20" s="12" t="s">
        <v>91</v>
      </c>
    </row>
    <row r="21" customFormat="false" ht="15.75" hidden="false" customHeight="true" outlineLevel="0" collapsed="false">
      <c r="A21" s="27" t="s">
        <v>181</v>
      </c>
      <c r="B21" s="21" t="s">
        <v>170</v>
      </c>
      <c r="C21" s="21" t="s">
        <v>182</v>
      </c>
      <c r="D21" s="11" t="s">
        <v>84</v>
      </c>
      <c r="E21" s="12" t="s">
        <v>11</v>
      </c>
      <c r="F21" s="21" t="s">
        <v>172</v>
      </c>
      <c r="G21" s="21" t="s">
        <v>173</v>
      </c>
      <c r="H21" s="21" t="s">
        <v>183</v>
      </c>
      <c r="I21" s="11" t="s">
        <v>175</v>
      </c>
      <c r="J21" s="11" t="s">
        <v>176</v>
      </c>
      <c r="K21" s="14" t="s">
        <v>90</v>
      </c>
      <c r="L21" s="12" t="s">
        <v>91</v>
      </c>
    </row>
    <row r="22" customFormat="false" ht="15.75" hidden="false" customHeight="true" outlineLevel="0" collapsed="false">
      <c r="A22" s="27" t="s">
        <v>184</v>
      </c>
      <c r="B22" s="21" t="s">
        <v>170</v>
      </c>
      <c r="C22" s="21" t="s">
        <v>185</v>
      </c>
      <c r="D22" s="11" t="s">
        <v>84</v>
      </c>
      <c r="E22" s="13" t="s">
        <v>12</v>
      </c>
      <c r="F22" s="21" t="s">
        <v>186</v>
      </c>
      <c r="G22" s="21" t="s">
        <v>156</v>
      </c>
      <c r="H22" s="21" t="s">
        <v>187</v>
      </c>
      <c r="I22" s="11" t="s">
        <v>188</v>
      </c>
      <c r="J22" s="11" t="s">
        <v>189</v>
      </c>
      <c r="K22" s="13" t="s">
        <v>114</v>
      </c>
      <c r="L22" s="13" t="s">
        <v>12</v>
      </c>
    </row>
    <row r="23" customFormat="false" ht="15.75" hidden="false" customHeight="true" outlineLevel="0" collapsed="false">
      <c r="A23" s="27" t="s">
        <v>190</v>
      </c>
      <c r="B23" s="21" t="s">
        <v>191</v>
      </c>
      <c r="C23" s="21" t="s">
        <v>192</v>
      </c>
      <c r="D23" s="11" t="s">
        <v>84</v>
      </c>
      <c r="E23" s="12" t="s">
        <v>11</v>
      </c>
      <c r="F23" s="21" t="s">
        <v>85</v>
      </c>
      <c r="G23" s="21" t="s">
        <v>86</v>
      </c>
      <c r="H23" s="21" t="s">
        <v>193</v>
      </c>
      <c r="I23" s="11" t="s">
        <v>194</v>
      </c>
      <c r="J23" s="11" t="s">
        <v>195</v>
      </c>
      <c r="K23" s="14" t="s">
        <v>90</v>
      </c>
      <c r="L23" s="12" t="s">
        <v>91</v>
      </c>
    </row>
    <row r="24" customFormat="false" ht="15.75" hidden="false" customHeight="true" outlineLevel="0" collapsed="false">
      <c r="A24" s="27" t="s">
        <v>196</v>
      </c>
      <c r="B24" s="21" t="s">
        <v>191</v>
      </c>
      <c r="C24" s="21" t="s">
        <v>197</v>
      </c>
      <c r="D24" s="11" t="s">
        <v>84</v>
      </c>
      <c r="E24" s="12" t="s">
        <v>11</v>
      </c>
      <c r="F24" s="21" t="s">
        <v>85</v>
      </c>
      <c r="G24" s="21" t="s">
        <v>86</v>
      </c>
      <c r="H24" s="21" t="s">
        <v>198</v>
      </c>
      <c r="I24" s="11" t="s">
        <v>194</v>
      </c>
      <c r="J24" s="11" t="s">
        <v>195</v>
      </c>
      <c r="K24" s="14" t="s">
        <v>90</v>
      </c>
      <c r="L24" s="12" t="s">
        <v>91</v>
      </c>
    </row>
    <row r="25" customFormat="false" ht="15.75" hidden="false" customHeight="true" outlineLevel="0" collapsed="false">
      <c r="A25" s="27" t="s">
        <v>199</v>
      </c>
      <c r="B25" s="21" t="s">
        <v>191</v>
      </c>
      <c r="C25" s="21" t="s">
        <v>200</v>
      </c>
      <c r="D25" s="11" t="s">
        <v>84</v>
      </c>
      <c r="E25" s="12" t="s">
        <v>11</v>
      </c>
      <c r="F25" s="21" t="s">
        <v>94</v>
      </c>
      <c r="G25" s="21" t="s">
        <v>86</v>
      </c>
      <c r="H25" s="21" t="s">
        <v>201</v>
      </c>
      <c r="I25" s="11" t="s">
        <v>194</v>
      </c>
      <c r="J25" s="11" t="s">
        <v>195</v>
      </c>
      <c r="K25" s="14" t="s">
        <v>90</v>
      </c>
      <c r="L25" s="12" t="s">
        <v>91</v>
      </c>
    </row>
    <row r="26" customFormat="false" ht="15.75" hidden="false" customHeight="true" outlineLevel="0" collapsed="false">
      <c r="A26" s="27" t="s">
        <v>202</v>
      </c>
      <c r="B26" s="21" t="s">
        <v>203</v>
      </c>
      <c r="C26" s="21" t="s">
        <v>204</v>
      </c>
      <c r="D26" s="11" t="s">
        <v>84</v>
      </c>
      <c r="E26" s="12" t="s">
        <v>11</v>
      </c>
      <c r="F26" s="21" t="s">
        <v>205</v>
      </c>
      <c r="G26" s="21" t="s">
        <v>206</v>
      </c>
      <c r="H26" s="21" t="s">
        <v>207</v>
      </c>
      <c r="I26" s="11" t="s">
        <v>208</v>
      </c>
      <c r="J26" s="11" t="s">
        <v>209</v>
      </c>
      <c r="K26" s="14" t="s">
        <v>90</v>
      </c>
      <c r="L26" s="12" t="s">
        <v>91</v>
      </c>
    </row>
    <row r="27" customFormat="false" ht="15.75" hidden="false" customHeight="true" outlineLevel="0" collapsed="false">
      <c r="A27" s="27" t="s">
        <v>210</v>
      </c>
      <c r="B27" s="21" t="s">
        <v>203</v>
      </c>
      <c r="C27" s="21" t="s">
        <v>211</v>
      </c>
      <c r="D27" s="11" t="s">
        <v>84</v>
      </c>
      <c r="E27" s="12" t="s">
        <v>11</v>
      </c>
      <c r="F27" s="21" t="s">
        <v>205</v>
      </c>
      <c r="G27" s="21" t="s">
        <v>206</v>
      </c>
      <c r="H27" s="21" t="s">
        <v>212</v>
      </c>
      <c r="I27" s="11" t="s">
        <v>213</v>
      </c>
      <c r="J27" s="11" t="s">
        <v>209</v>
      </c>
      <c r="K27" s="14" t="s">
        <v>90</v>
      </c>
      <c r="L27" s="12" t="s">
        <v>91</v>
      </c>
    </row>
    <row r="28" customFormat="false" ht="15.75" hidden="false" customHeight="true" outlineLevel="0" collapsed="false">
      <c r="A28" s="27" t="s">
        <v>214</v>
      </c>
      <c r="B28" s="21" t="s">
        <v>203</v>
      </c>
      <c r="C28" s="21" t="s">
        <v>215</v>
      </c>
      <c r="D28" s="11" t="s">
        <v>84</v>
      </c>
      <c r="E28" s="12" t="s">
        <v>11</v>
      </c>
      <c r="F28" s="21" t="s">
        <v>216</v>
      </c>
      <c r="G28" s="21" t="s">
        <v>217</v>
      </c>
      <c r="H28" s="21" t="s">
        <v>218</v>
      </c>
      <c r="I28" s="11" t="s">
        <v>219</v>
      </c>
      <c r="J28" s="11" t="s">
        <v>147</v>
      </c>
      <c r="K28" s="14" t="s">
        <v>90</v>
      </c>
      <c r="L28" s="12" t="s">
        <v>91</v>
      </c>
    </row>
    <row r="29" customFormat="false" ht="15.75" hidden="false" customHeight="true" outlineLevel="0" collapsed="false">
      <c r="A29" s="27" t="s">
        <v>220</v>
      </c>
      <c r="B29" s="21" t="s">
        <v>203</v>
      </c>
      <c r="C29" s="21" t="s">
        <v>221</v>
      </c>
      <c r="D29" s="11" t="s">
        <v>84</v>
      </c>
      <c r="E29" s="12" t="s">
        <v>11</v>
      </c>
      <c r="F29" s="21" t="s">
        <v>222</v>
      </c>
      <c r="G29" s="21" t="s">
        <v>206</v>
      </c>
      <c r="H29" s="21" t="s">
        <v>223</v>
      </c>
      <c r="I29" s="11" t="s">
        <v>213</v>
      </c>
      <c r="J29" s="11" t="s">
        <v>224</v>
      </c>
      <c r="K29" s="14" t="s">
        <v>90</v>
      </c>
      <c r="L29" s="12" t="s">
        <v>91</v>
      </c>
    </row>
    <row r="30" customFormat="false" ht="15.75" hidden="false" customHeight="true" outlineLevel="0" collapsed="false">
      <c r="A30" s="27" t="s">
        <v>225</v>
      </c>
      <c r="B30" s="21" t="s">
        <v>203</v>
      </c>
      <c r="C30" s="21" t="s">
        <v>226</v>
      </c>
      <c r="D30" s="11" t="s">
        <v>84</v>
      </c>
      <c r="E30" s="12" t="s">
        <v>11</v>
      </c>
      <c r="F30" s="21" t="s">
        <v>227</v>
      </c>
      <c r="G30" s="21" t="s">
        <v>206</v>
      </c>
      <c r="H30" s="21" t="s">
        <v>228</v>
      </c>
      <c r="I30" s="11" t="s">
        <v>208</v>
      </c>
      <c r="J30" s="11" t="s">
        <v>209</v>
      </c>
      <c r="K30" s="14" t="s">
        <v>90</v>
      </c>
      <c r="L30" s="12" t="s">
        <v>91</v>
      </c>
    </row>
    <row r="31" customFormat="false" ht="15.75" hidden="false" customHeight="true" outlineLevel="0" collapsed="false">
      <c r="A31" s="27" t="s">
        <v>229</v>
      </c>
      <c r="B31" s="21" t="s">
        <v>230</v>
      </c>
      <c r="C31" s="21" t="s">
        <v>230</v>
      </c>
      <c r="D31" s="11" t="s">
        <v>84</v>
      </c>
      <c r="E31" s="12" t="s">
        <v>11</v>
      </c>
      <c r="F31" s="21" t="s">
        <v>231</v>
      </c>
      <c r="G31" s="21" t="s">
        <v>156</v>
      </c>
      <c r="H31" s="21" t="s">
        <v>232</v>
      </c>
      <c r="I31" s="11" t="s">
        <v>233</v>
      </c>
      <c r="J31" s="11" t="s">
        <v>234</v>
      </c>
      <c r="K31" s="14" t="s">
        <v>90</v>
      </c>
      <c r="L31" s="12" t="s">
        <v>91</v>
      </c>
    </row>
    <row r="32" customFormat="false" ht="15.75" hidden="false" customHeight="true" outlineLevel="0" collapsed="false">
      <c r="A32" s="27" t="s">
        <v>235</v>
      </c>
      <c r="B32" s="21" t="s">
        <v>230</v>
      </c>
      <c r="C32" s="21" t="s">
        <v>236</v>
      </c>
      <c r="D32" s="11" t="s">
        <v>84</v>
      </c>
      <c r="E32" s="12" t="s">
        <v>11</v>
      </c>
      <c r="F32" s="21" t="s">
        <v>186</v>
      </c>
      <c r="G32" s="21" t="s">
        <v>156</v>
      </c>
      <c r="H32" s="21" t="s">
        <v>237</v>
      </c>
      <c r="I32" s="11" t="s">
        <v>164</v>
      </c>
      <c r="J32" s="11" t="s">
        <v>238</v>
      </c>
      <c r="K32" s="14" t="s">
        <v>90</v>
      </c>
      <c r="L32" s="12" t="s">
        <v>91</v>
      </c>
    </row>
    <row r="33" customFormat="false" ht="15.75" hidden="false" customHeight="true" outlineLevel="0" collapsed="false">
      <c r="A33" s="27" t="s">
        <v>239</v>
      </c>
      <c r="B33" s="21" t="s">
        <v>240</v>
      </c>
      <c r="C33" s="21" t="s">
        <v>241</v>
      </c>
      <c r="D33" s="11" t="s">
        <v>84</v>
      </c>
      <c r="E33" s="12" t="s">
        <v>11</v>
      </c>
      <c r="F33" s="21" t="s">
        <v>242</v>
      </c>
      <c r="G33" s="21" t="s">
        <v>243</v>
      </c>
      <c r="H33" s="21" t="s">
        <v>244</v>
      </c>
      <c r="I33" s="11" t="s">
        <v>245</v>
      </c>
      <c r="J33" s="11" t="s">
        <v>147</v>
      </c>
      <c r="K33" s="14" t="s">
        <v>90</v>
      </c>
      <c r="L33" s="12" t="s">
        <v>91</v>
      </c>
    </row>
    <row r="34" customFormat="false" ht="15.75" hidden="false" customHeight="true" outlineLevel="0" collapsed="false">
      <c r="A34" s="27" t="s">
        <v>246</v>
      </c>
      <c r="B34" s="21" t="s">
        <v>247</v>
      </c>
      <c r="C34" s="21" t="s">
        <v>248</v>
      </c>
      <c r="D34" s="11" t="s">
        <v>84</v>
      </c>
      <c r="E34" s="12" t="s">
        <v>11</v>
      </c>
      <c r="F34" s="21" t="s">
        <v>117</v>
      </c>
      <c r="G34" s="21" t="s">
        <v>118</v>
      </c>
      <c r="H34" s="21" t="s">
        <v>249</v>
      </c>
      <c r="I34" s="11" t="s">
        <v>250</v>
      </c>
      <c r="J34" s="11" t="s">
        <v>121</v>
      </c>
      <c r="K34" s="14" t="s">
        <v>90</v>
      </c>
      <c r="L34" s="12" t="s">
        <v>91</v>
      </c>
    </row>
    <row r="35" customFormat="false" ht="15.75" hidden="false" customHeight="true" outlineLevel="0" collapsed="false">
      <c r="A35" s="27" t="s">
        <v>251</v>
      </c>
      <c r="B35" s="21" t="s">
        <v>247</v>
      </c>
      <c r="C35" s="21" t="s">
        <v>252</v>
      </c>
      <c r="D35" s="11" t="s">
        <v>84</v>
      </c>
      <c r="E35" s="13" t="s">
        <v>12</v>
      </c>
      <c r="F35" s="21" t="s">
        <v>172</v>
      </c>
      <c r="G35" s="21" t="s">
        <v>173</v>
      </c>
      <c r="H35" s="21" t="s">
        <v>253</v>
      </c>
      <c r="I35" s="11" t="s">
        <v>254</v>
      </c>
      <c r="J35" s="11" t="s">
        <v>255</v>
      </c>
      <c r="K35" s="14" t="s">
        <v>90</v>
      </c>
      <c r="L35" s="13" t="s">
        <v>12</v>
      </c>
    </row>
    <row r="36" customFormat="false" ht="15.75" hidden="false" customHeight="true" outlineLevel="0" collapsed="false">
      <c r="A36" s="27" t="s">
        <v>256</v>
      </c>
      <c r="B36" s="21" t="s">
        <v>257</v>
      </c>
      <c r="C36" s="21" t="s">
        <v>258</v>
      </c>
      <c r="D36" s="11" t="s">
        <v>84</v>
      </c>
      <c r="E36" s="12" t="s">
        <v>11</v>
      </c>
      <c r="F36" s="21" t="s">
        <v>133</v>
      </c>
      <c r="G36" s="21" t="s">
        <v>118</v>
      </c>
      <c r="H36" s="21" t="s">
        <v>259</v>
      </c>
      <c r="I36" s="11" t="s">
        <v>260</v>
      </c>
      <c r="J36" s="11" t="s">
        <v>261</v>
      </c>
      <c r="K36" s="14" t="s">
        <v>90</v>
      </c>
      <c r="L36" s="12" t="s">
        <v>91</v>
      </c>
    </row>
    <row r="37" customFormat="false" ht="15.75" hidden="false" customHeight="true" outlineLevel="0" collapsed="false">
      <c r="A37" s="27" t="s">
        <v>262</v>
      </c>
      <c r="B37" s="21" t="s">
        <v>257</v>
      </c>
      <c r="C37" s="21" t="s">
        <v>263</v>
      </c>
      <c r="D37" s="11" t="s">
        <v>84</v>
      </c>
      <c r="E37" s="12" t="s">
        <v>11</v>
      </c>
      <c r="F37" s="21" t="s">
        <v>133</v>
      </c>
      <c r="G37" s="21" t="s">
        <v>118</v>
      </c>
      <c r="H37" s="21" t="s">
        <v>264</v>
      </c>
      <c r="I37" s="11" t="s">
        <v>108</v>
      </c>
      <c r="J37" s="11" t="s">
        <v>109</v>
      </c>
      <c r="K37" s="14" t="s">
        <v>90</v>
      </c>
      <c r="L37" s="12" t="s">
        <v>91</v>
      </c>
    </row>
    <row r="38" customFormat="false" ht="15.75" hidden="false" customHeight="true" outlineLevel="0" collapsed="false">
      <c r="A38" s="27" t="s">
        <v>265</v>
      </c>
      <c r="B38" s="21" t="s">
        <v>257</v>
      </c>
      <c r="C38" s="21" t="s">
        <v>266</v>
      </c>
      <c r="D38" s="11" t="s">
        <v>84</v>
      </c>
      <c r="E38" s="12" t="s">
        <v>11</v>
      </c>
      <c r="F38" s="21" t="s">
        <v>267</v>
      </c>
      <c r="G38" s="21" t="s">
        <v>243</v>
      </c>
      <c r="H38" s="21" t="s">
        <v>268</v>
      </c>
      <c r="I38" s="11" t="s">
        <v>269</v>
      </c>
      <c r="J38" s="11" t="s">
        <v>261</v>
      </c>
      <c r="K38" s="14" t="s">
        <v>90</v>
      </c>
      <c r="L38" s="12" t="s">
        <v>91</v>
      </c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3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28" t="s">
        <v>270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customFormat="false" ht="15" hidden="false" customHeight="true" outlineLevel="0" collapsed="false">
      <c r="A2" s="2" t="s">
        <v>271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17" t="s">
        <v>70</v>
      </c>
      <c r="B3" s="17" t="s">
        <v>272</v>
      </c>
      <c r="C3" s="17" t="s">
        <v>72</v>
      </c>
      <c r="D3" s="17" t="s">
        <v>273</v>
      </c>
      <c r="E3" s="17" t="s">
        <v>17</v>
      </c>
      <c r="F3" s="17" t="s">
        <v>274</v>
      </c>
      <c r="G3" s="17" t="s">
        <v>75</v>
      </c>
      <c r="H3" s="17" t="s">
        <v>76</v>
      </c>
      <c r="I3" s="17" t="s">
        <v>275</v>
      </c>
      <c r="J3" s="17" t="s">
        <v>78</v>
      </c>
      <c r="K3" s="17" t="s">
        <v>276</v>
      </c>
    </row>
    <row r="4" customFormat="false" ht="15.75" hidden="false" customHeight="true" outlineLevel="0" collapsed="false">
      <c r="A4" s="29" t="s">
        <v>277</v>
      </c>
      <c r="B4" s="21" t="s">
        <v>278</v>
      </c>
      <c r="C4" s="21" t="s">
        <v>279</v>
      </c>
      <c r="D4" s="11" t="s">
        <v>280</v>
      </c>
      <c r="E4" s="12" t="s">
        <v>11</v>
      </c>
      <c r="F4" s="21" t="s">
        <v>281</v>
      </c>
      <c r="G4" s="21" t="s">
        <v>282</v>
      </c>
      <c r="H4" s="21" t="s">
        <v>283</v>
      </c>
      <c r="I4" s="11" t="s">
        <v>284</v>
      </c>
      <c r="J4" s="11" t="s">
        <v>285</v>
      </c>
      <c r="K4" s="30" t="s">
        <v>124</v>
      </c>
    </row>
    <row r="5" customFormat="false" ht="15.75" hidden="false" customHeight="true" outlineLevel="0" collapsed="false">
      <c r="A5" s="29" t="s">
        <v>286</v>
      </c>
      <c r="B5" s="21" t="s">
        <v>278</v>
      </c>
      <c r="C5" s="21" t="s">
        <v>287</v>
      </c>
      <c r="D5" s="11" t="s">
        <v>280</v>
      </c>
      <c r="E5" s="13" t="s">
        <v>12</v>
      </c>
      <c r="F5" s="21" t="s">
        <v>85</v>
      </c>
      <c r="G5" s="21" t="s">
        <v>86</v>
      </c>
      <c r="H5" s="21" t="s">
        <v>288</v>
      </c>
      <c r="I5" s="11" t="s">
        <v>81</v>
      </c>
      <c r="J5" s="11" t="s">
        <v>289</v>
      </c>
      <c r="K5" s="13" t="s">
        <v>114</v>
      </c>
    </row>
    <row r="6" customFormat="false" ht="15.75" hidden="false" customHeight="true" outlineLevel="0" collapsed="false">
      <c r="A6" s="29" t="s">
        <v>233</v>
      </c>
      <c r="B6" s="21" t="s">
        <v>278</v>
      </c>
      <c r="C6" s="21" t="s">
        <v>290</v>
      </c>
      <c r="D6" s="11" t="s">
        <v>280</v>
      </c>
      <c r="E6" s="12" t="s">
        <v>11</v>
      </c>
      <c r="F6" s="21" t="s">
        <v>231</v>
      </c>
      <c r="G6" s="21" t="s">
        <v>156</v>
      </c>
      <c r="H6" s="21" t="s">
        <v>291</v>
      </c>
      <c r="I6" s="11" t="s">
        <v>229</v>
      </c>
      <c r="J6" s="11" t="s">
        <v>234</v>
      </c>
      <c r="K6" s="30" t="s">
        <v>124</v>
      </c>
    </row>
    <row r="7" customFormat="false" ht="15.75" hidden="false" customHeight="true" outlineLevel="0" collapsed="false">
      <c r="A7" s="29" t="s">
        <v>292</v>
      </c>
      <c r="B7" s="21" t="s">
        <v>278</v>
      </c>
      <c r="C7" s="21" t="s">
        <v>293</v>
      </c>
      <c r="D7" s="11" t="s">
        <v>280</v>
      </c>
      <c r="E7" s="13" t="s">
        <v>12</v>
      </c>
      <c r="F7" s="21" t="s">
        <v>281</v>
      </c>
      <c r="G7" s="21" t="s">
        <v>282</v>
      </c>
      <c r="H7" s="21" t="s">
        <v>294</v>
      </c>
      <c r="I7" s="11" t="s">
        <v>295</v>
      </c>
      <c r="J7" s="11" t="s">
        <v>296</v>
      </c>
      <c r="K7" s="13" t="s">
        <v>114</v>
      </c>
    </row>
    <row r="8" customFormat="false" ht="15.75" hidden="false" customHeight="true" outlineLevel="0" collapsed="false">
      <c r="A8" s="29" t="s">
        <v>88</v>
      </c>
      <c r="B8" s="21" t="s">
        <v>278</v>
      </c>
      <c r="C8" s="21" t="s">
        <v>82</v>
      </c>
      <c r="D8" s="11" t="s">
        <v>280</v>
      </c>
      <c r="E8" s="12" t="s">
        <v>11</v>
      </c>
      <c r="F8" s="21" t="s">
        <v>94</v>
      </c>
      <c r="G8" s="21" t="s">
        <v>86</v>
      </c>
      <c r="H8" s="21" t="s">
        <v>297</v>
      </c>
      <c r="I8" s="11" t="s">
        <v>92</v>
      </c>
      <c r="J8" s="11" t="s">
        <v>89</v>
      </c>
      <c r="K8" s="30" t="s">
        <v>124</v>
      </c>
    </row>
    <row r="9" customFormat="false" ht="15.75" hidden="false" customHeight="true" outlineLevel="0" collapsed="false">
      <c r="A9" s="29" t="s">
        <v>208</v>
      </c>
      <c r="B9" s="21" t="s">
        <v>278</v>
      </c>
      <c r="C9" s="21" t="s">
        <v>298</v>
      </c>
      <c r="D9" s="11" t="s">
        <v>280</v>
      </c>
      <c r="E9" s="12" t="s">
        <v>11</v>
      </c>
      <c r="F9" s="21" t="s">
        <v>205</v>
      </c>
      <c r="G9" s="21" t="s">
        <v>206</v>
      </c>
      <c r="H9" s="21" t="s">
        <v>299</v>
      </c>
      <c r="I9" s="11" t="s">
        <v>202</v>
      </c>
      <c r="J9" s="11" t="s">
        <v>209</v>
      </c>
      <c r="K9" s="30" t="s">
        <v>124</v>
      </c>
    </row>
    <row r="10" customFormat="false" ht="15.75" hidden="false" customHeight="true" outlineLevel="0" collapsed="false">
      <c r="A10" s="29" t="s">
        <v>219</v>
      </c>
      <c r="B10" s="21" t="s">
        <v>278</v>
      </c>
      <c r="C10" s="21" t="s">
        <v>300</v>
      </c>
      <c r="D10" s="11" t="s">
        <v>280</v>
      </c>
      <c r="E10" s="12" t="s">
        <v>11</v>
      </c>
      <c r="F10" s="21" t="s">
        <v>216</v>
      </c>
      <c r="G10" s="21" t="s">
        <v>217</v>
      </c>
      <c r="H10" s="21" t="s">
        <v>301</v>
      </c>
      <c r="I10" s="11" t="s">
        <v>214</v>
      </c>
      <c r="J10" s="11" t="s">
        <v>147</v>
      </c>
      <c r="K10" s="30" t="s">
        <v>124</v>
      </c>
    </row>
    <row r="11" customFormat="false" ht="15.75" hidden="false" customHeight="true" outlineLevel="0" collapsed="false">
      <c r="A11" s="29" t="s">
        <v>213</v>
      </c>
      <c r="B11" s="21" t="s">
        <v>278</v>
      </c>
      <c r="C11" s="21" t="s">
        <v>302</v>
      </c>
      <c r="D11" s="11" t="s">
        <v>280</v>
      </c>
      <c r="E11" s="12" t="s">
        <v>11</v>
      </c>
      <c r="F11" s="21" t="s">
        <v>205</v>
      </c>
      <c r="G11" s="21" t="s">
        <v>206</v>
      </c>
      <c r="H11" s="21" t="s">
        <v>303</v>
      </c>
      <c r="I11" s="11" t="s">
        <v>210</v>
      </c>
      <c r="J11" s="11" t="s">
        <v>209</v>
      </c>
      <c r="K11" s="30" t="s">
        <v>124</v>
      </c>
    </row>
    <row r="12" customFormat="false" ht="15.75" hidden="false" customHeight="true" outlineLevel="0" collapsed="false">
      <c r="A12" s="29" t="s">
        <v>304</v>
      </c>
      <c r="B12" s="21" t="s">
        <v>278</v>
      </c>
      <c r="C12" s="21" t="s">
        <v>305</v>
      </c>
      <c r="D12" s="11" t="s">
        <v>280</v>
      </c>
      <c r="E12" s="12" t="s">
        <v>11</v>
      </c>
      <c r="F12" s="21" t="s">
        <v>306</v>
      </c>
      <c r="G12" s="21" t="s">
        <v>206</v>
      </c>
      <c r="H12" s="21" t="s">
        <v>307</v>
      </c>
      <c r="I12" s="11" t="s">
        <v>210</v>
      </c>
      <c r="J12" s="11" t="s">
        <v>165</v>
      </c>
      <c r="K12" s="30" t="s">
        <v>124</v>
      </c>
    </row>
    <row r="13" customFormat="false" ht="15.75" hidden="false" customHeight="true" outlineLevel="0" collapsed="false">
      <c r="A13" s="29" t="s">
        <v>308</v>
      </c>
      <c r="B13" s="21" t="s">
        <v>278</v>
      </c>
      <c r="C13" s="21" t="s">
        <v>309</v>
      </c>
      <c r="D13" s="11" t="s">
        <v>280</v>
      </c>
      <c r="E13" s="12" t="s">
        <v>11</v>
      </c>
      <c r="F13" s="21" t="s">
        <v>310</v>
      </c>
      <c r="G13" s="21" t="s">
        <v>217</v>
      </c>
      <c r="H13" s="21" t="s">
        <v>311</v>
      </c>
      <c r="I13" s="11" t="s">
        <v>210</v>
      </c>
      <c r="J13" s="11" t="s">
        <v>147</v>
      </c>
      <c r="K13" s="30" t="s">
        <v>124</v>
      </c>
    </row>
    <row r="14" customFormat="false" ht="15.75" hidden="false" customHeight="true" outlineLevel="0" collapsed="false">
      <c r="A14" s="29" t="s">
        <v>312</v>
      </c>
      <c r="B14" s="21" t="s">
        <v>278</v>
      </c>
      <c r="C14" s="21" t="s">
        <v>313</v>
      </c>
      <c r="D14" s="11" t="s">
        <v>280</v>
      </c>
      <c r="E14" s="13" t="s">
        <v>12</v>
      </c>
      <c r="F14" s="21" t="s">
        <v>281</v>
      </c>
      <c r="G14" s="21" t="s">
        <v>282</v>
      </c>
      <c r="H14" s="21" t="s">
        <v>314</v>
      </c>
      <c r="I14" s="11" t="s">
        <v>315</v>
      </c>
      <c r="J14" s="11" t="s">
        <v>316</v>
      </c>
      <c r="K14" s="14" t="s">
        <v>90</v>
      </c>
    </row>
    <row r="15" customFormat="false" ht="15.75" hidden="false" customHeight="true" outlineLevel="0" collapsed="false">
      <c r="A15" s="29" t="s">
        <v>317</v>
      </c>
      <c r="B15" s="21" t="s">
        <v>278</v>
      </c>
      <c r="C15" s="21" t="s">
        <v>318</v>
      </c>
      <c r="D15" s="11" t="s">
        <v>280</v>
      </c>
      <c r="E15" s="14" t="s">
        <v>13</v>
      </c>
      <c r="F15" s="21"/>
      <c r="G15" s="21" t="s">
        <v>124</v>
      </c>
      <c r="H15" s="21" t="s">
        <v>319</v>
      </c>
      <c r="I15" s="11" t="s">
        <v>320</v>
      </c>
      <c r="J15" s="11" t="s">
        <v>321</v>
      </c>
      <c r="K15" s="14" t="s">
        <v>90</v>
      </c>
    </row>
    <row r="16" customFormat="false" ht="15.75" hidden="false" customHeight="true" outlineLevel="0" collapsed="false">
      <c r="A16" s="29" t="s">
        <v>322</v>
      </c>
      <c r="B16" s="21" t="s">
        <v>323</v>
      </c>
      <c r="C16" s="21" t="s">
        <v>324</v>
      </c>
      <c r="D16" s="11" t="s">
        <v>325</v>
      </c>
      <c r="E16" s="31" t="s">
        <v>326</v>
      </c>
      <c r="F16" s="21"/>
      <c r="G16" s="21" t="s">
        <v>124</v>
      </c>
      <c r="H16" s="21" t="s">
        <v>327</v>
      </c>
      <c r="I16" s="11" t="s">
        <v>328</v>
      </c>
      <c r="J16" s="11" t="s">
        <v>124</v>
      </c>
      <c r="K16" s="30" t="s">
        <v>124</v>
      </c>
    </row>
    <row r="17" customFormat="false" ht="15.75" hidden="false" customHeight="true" outlineLevel="0" collapsed="false">
      <c r="A17" s="29" t="s">
        <v>329</v>
      </c>
      <c r="B17" s="21" t="s">
        <v>323</v>
      </c>
      <c r="C17" s="21" t="s">
        <v>330</v>
      </c>
      <c r="D17" s="11" t="s">
        <v>280</v>
      </c>
      <c r="E17" s="13" t="s">
        <v>12</v>
      </c>
      <c r="F17" s="21" t="s">
        <v>331</v>
      </c>
      <c r="G17" s="21" t="s">
        <v>332</v>
      </c>
      <c r="H17" s="21" t="s">
        <v>333</v>
      </c>
      <c r="I17" s="11" t="s">
        <v>334</v>
      </c>
      <c r="J17" s="11" t="s">
        <v>335</v>
      </c>
      <c r="K17" s="13" t="s">
        <v>114</v>
      </c>
    </row>
    <row r="18" customFormat="false" ht="15.75" hidden="false" customHeight="true" outlineLevel="0" collapsed="false">
      <c r="A18" s="29" t="s">
        <v>336</v>
      </c>
      <c r="B18" s="21" t="s">
        <v>323</v>
      </c>
      <c r="C18" s="21" t="s">
        <v>337</v>
      </c>
      <c r="D18" s="11" t="s">
        <v>325</v>
      </c>
      <c r="E18" s="31" t="s">
        <v>326</v>
      </c>
      <c r="F18" s="21"/>
      <c r="G18" s="21" t="s">
        <v>124</v>
      </c>
      <c r="H18" s="21" t="s">
        <v>338</v>
      </c>
      <c r="I18" s="11" t="s">
        <v>339</v>
      </c>
      <c r="J18" s="11" t="s">
        <v>124</v>
      </c>
      <c r="K18" s="30" t="s">
        <v>124</v>
      </c>
    </row>
    <row r="19" customFormat="false" ht="15.75" hidden="false" customHeight="true" outlineLevel="0" collapsed="false">
      <c r="A19" s="29" t="s">
        <v>340</v>
      </c>
      <c r="B19" s="21" t="s">
        <v>341</v>
      </c>
      <c r="C19" s="21" t="s">
        <v>342</v>
      </c>
      <c r="D19" s="11" t="s">
        <v>280</v>
      </c>
      <c r="E19" s="12" t="s">
        <v>11</v>
      </c>
      <c r="F19" s="21" t="s">
        <v>343</v>
      </c>
      <c r="G19" s="21" t="s">
        <v>173</v>
      </c>
      <c r="H19" s="21" t="s">
        <v>344</v>
      </c>
      <c r="I19" s="11" t="s">
        <v>345</v>
      </c>
      <c r="J19" s="11" t="s">
        <v>124</v>
      </c>
      <c r="K19" s="30" t="s">
        <v>124</v>
      </c>
    </row>
    <row r="20" customFormat="false" ht="15.75" hidden="false" customHeight="true" outlineLevel="0" collapsed="false">
      <c r="A20" s="29" t="s">
        <v>346</v>
      </c>
      <c r="B20" s="21" t="s">
        <v>341</v>
      </c>
      <c r="C20" s="21" t="s">
        <v>347</v>
      </c>
      <c r="D20" s="11" t="s">
        <v>280</v>
      </c>
      <c r="E20" s="13" t="s">
        <v>12</v>
      </c>
      <c r="F20" s="21" t="s">
        <v>343</v>
      </c>
      <c r="G20" s="21" t="s">
        <v>173</v>
      </c>
      <c r="H20" s="21" t="s">
        <v>348</v>
      </c>
      <c r="I20" s="11" t="s">
        <v>349</v>
      </c>
      <c r="J20" s="11" t="s">
        <v>124</v>
      </c>
      <c r="K20" s="12" t="s">
        <v>128</v>
      </c>
    </row>
    <row r="21" customFormat="false" ht="15.75" hidden="false" customHeight="true" outlineLevel="0" collapsed="false">
      <c r="A21" s="29" t="s">
        <v>350</v>
      </c>
      <c r="B21" s="21" t="s">
        <v>341</v>
      </c>
      <c r="C21" s="21" t="s">
        <v>351</v>
      </c>
      <c r="D21" s="11" t="s">
        <v>280</v>
      </c>
      <c r="E21" s="13" t="s">
        <v>12</v>
      </c>
      <c r="F21" s="21" t="s">
        <v>172</v>
      </c>
      <c r="G21" s="21" t="s">
        <v>173</v>
      </c>
      <c r="H21" s="21" t="s">
        <v>352</v>
      </c>
      <c r="I21" s="11" t="s">
        <v>353</v>
      </c>
      <c r="J21" s="11" t="s">
        <v>124</v>
      </c>
      <c r="K21" s="12" t="s">
        <v>128</v>
      </c>
    </row>
    <row r="22" customFormat="false" ht="15.75" hidden="false" customHeight="true" outlineLevel="0" collapsed="false">
      <c r="A22" s="29" t="s">
        <v>102</v>
      </c>
      <c r="B22" s="21" t="s">
        <v>354</v>
      </c>
      <c r="C22" s="21" t="s">
        <v>355</v>
      </c>
      <c r="D22" s="11" t="s">
        <v>280</v>
      </c>
      <c r="E22" s="12" t="s">
        <v>11</v>
      </c>
      <c r="F22" s="21" t="s">
        <v>94</v>
      </c>
      <c r="G22" s="21" t="s">
        <v>86</v>
      </c>
      <c r="H22" s="21" t="s">
        <v>356</v>
      </c>
      <c r="I22" s="11" t="s">
        <v>97</v>
      </c>
      <c r="J22" s="11" t="s">
        <v>96</v>
      </c>
      <c r="K22" s="30" t="s">
        <v>124</v>
      </c>
    </row>
    <row r="23" customFormat="false" ht="15.75" hidden="false" customHeight="true" outlineLevel="0" collapsed="false">
      <c r="A23" s="29" t="s">
        <v>113</v>
      </c>
      <c r="B23" s="21" t="s">
        <v>354</v>
      </c>
      <c r="C23" s="21" t="s">
        <v>357</v>
      </c>
      <c r="D23" s="11" t="s">
        <v>280</v>
      </c>
      <c r="E23" s="12" t="s">
        <v>11</v>
      </c>
      <c r="F23" s="21" t="s">
        <v>94</v>
      </c>
      <c r="G23" s="21" t="s">
        <v>86</v>
      </c>
      <c r="H23" s="21" t="s">
        <v>358</v>
      </c>
      <c r="I23" s="11" t="s">
        <v>92</v>
      </c>
      <c r="J23" s="11" t="s">
        <v>96</v>
      </c>
      <c r="K23" s="30" t="s">
        <v>124</v>
      </c>
    </row>
    <row r="24" customFormat="false" ht="15.75" hidden="false" customHeight="true" outlineLevel="0" collapsed="false">
      <c r="A24" s="29" t="s">
        <v>194</v>
      </c>
      <c r="B24" s="21" t="s">
        <v>354</v>
      </c>
      <c r="C24" s="21" t="s">
        <v>359</v>
      </c>
      <c r="D24" s="11" t="s">
        <v>280</v>
      </c>
      <c r="E24" s="12" t="s">
        <v>11</v>
      </c>
      <c r="F24" s="21" t="s">
        <v>94</v>
      </c>
      <c r="G24" s="21" t="s">
        <v>86</v>
      </c>
      <c r="H24" s="21" t="s">
        <v>360</v>
      </c>
      <c r="I24" s="11" t="s">
        <v>190</v>
      </c>
      <c r="J24" s="11" t="s">
        <v>195</v>
      </c>
      <c r="K24" s="30" t="s">
        <v>124</v>
      </c>
    </row>
    <row r="25" customFormat="false" ht="15.75" hidden="false" customHeight="true" outlineLevel="0" collapsed="false">
      <c r="A25" s="29" t="s">
        <v>260</v>
      </c>
      <c r="B25" s="21" t="s">
        <v>354</v>
      </c>
      <c r="C25" s="21" t="s">
        <v>361</v>
      </c>
      <c r="D25" s="11" t="s">
        <v>280</v>
      </c>
      <c r="E25" s="12" t="s">
        <v>11</v>
      </c>
      <c r="F25" s="21" t="s">
        <v>133</v>
      </c>
      <c r="G25" s="21" t="s">
        <v>118</v>
      </c>
      <c r="H25" s="21" t="s">
        <v>362</v>
      </c>
      <c r="I25" s="11" t="s">
        <v>256</v>
      </c>
      <c r="J25" s="11" t="s">
        <v>261</v>
      </c>
      <c r="K25" s="30" t="s">
        <v>124</v>
      </c>
    </row>
    <row r="26" customFormat="false" ht="15.75" hidden="false" customHeight="true" outlineLevel="0" collapsed="false">
      <c r="A26" s="29" t="s">
        <v>164</v>
      </c>
      <c r="B26" s="21" t="s">
        <v>354</v>
      </c>
      <c r="C26" s="21" t="s">
        <v>363</v>
      </c>
      <c r="D26" s="11" t="s">
        <v>280</v>
      </c>
      <c r="E26" s="12" t="s">
        <v>11</v>
      </c>
      <c r="F26" s="21" t="s">
        <v>186</v>
      </c>
      <c r="G26" s="21" t="s">
        <v>156</v>
      </c>
      <c r="H26" s="21" t="s">
        <v>364</v>
      </c>
      <c r="I26" s="11" t="s">
        <v>235</v>
      </c>
      <c r="J26" s="11" t="s">
        <v>238</v>
      </c>
      <c r="K26" s="30" t="s">
        <v>124</v>
      </c>
    </row>
    <row r="27" customFormat="false" ht="15.75" hidden="false" customHeight="true" outlineLevel="0" collapsed="false">
      <c r="A27" s="29" t="s">
        <v>175</v>
      </c>
      <c r="B27" s="21" t="s">
        <v>354</v>
      </c>
      <c r="C27" s="21" t="s">
        <v>365</v>
      </c>
      <c r="D27" s="11" t="s">
        <v>280</v>
      </c>
      <c r="E27" s="12" t="s">
        <v>11</v>
      </c>
      <c r="F27" s="21" t="s">
        <v>172</v>
      </c>
      <c r="G27" s="21" t="s">
        <v>173</v>
      </c>
      <c r="H27" s="21" t="s">
        <v>366</v>
      </c>
      <c r="I27" s="11" t="s">
        <v>177</v>
      </c>
      <c r="J27" s="11" t="s">
        <v>176</v>
      </c>
      <c r="K27" s="30" t="s">
        <v>124</v>
      </c>
    </row>
    <row r="28" customFormat="false" ht="15.75" hidden="false" customHeight="true" outlineLevel="0" collapsed="false">
      <c r="A28" s="29" t="s">
        <v>135</v>
      </c>
      <c r="B28" s="21" t="s">
        <v>354</v>
      </c>
      <c r="C28" s="21" t="s">
        <v>367</v>
      </c>
      <c r="D28" s="11" t="s">
        <v>280</v>
      </c>
      <c r="E28" s="12" t="s">
        <v>11</v>
      </c>
      <c r="F28" s="21" t="s">
        <v>150</v>
      </c>
      <c r="G28" s="21" t="s">
        <v>106</v>
      </c>
      <c r="H28" s="21" t="s">
        <v>368</v>
      </c>
      <c r="I28" s="11" t="s">
        <v>130</v>
      </c>
      <c r="J28" s="11" t="s">
        <v>109</v>
      </c>
      <c r="K28" s="30" t="s">
        <v>124</v>
      </c>
    </row>
    <row r="29" customFormat="false" ht="15.75" hidden="false" customHeight="true" outlineLevel="0" collapsed="false">
      <c r="A29" s="29" t="s">
        <v>108</v>
      </c>
      <c r="B29" s="21" t="s">
        <v>354</v>
      </c>
      <c r="C29" s="21" t="s">
        <v>369</v>
      </c>
      <c r="D29" s="11" t="s">
        <v>280</v>
      </c>
      <c r="E29" s="12" t="s">
        <v>11</v>
      </c>
      <c r="F29" s="21" t="s">
        <v>105</v>
      </c>
      <c r="G29" s="21" t="s">
        <v>106</v>
      </c>
      <c r="H29" s="21" t="s">
        <v>370</v>
      </c>
      <c r="I29" s="11" t="s">
        <v>262</v>
      </c>
      <c r="J29" s="11" t="s">
        <v>109</v>
      </c>
      <c r="K29" s="30" t="s">
        <v>124</v>
      </c>
    </row>
    <row r="30" customFormat="false" ht="15.75" hidden="false" customHeight="true" outlineLevel="0" collapsed="false">
      <c r="A30" s="29" t="s">
        <v>250</v>
      </c>
      <c r="B30" s="21" t="s">
        <v>354</v>
      </c>
      <c r="C30" s="21" t="s">
        <v>371</v>
      </c>
      <c r="D30" s="11" t="s">
        <v>280</v>
      </c>
      <c r="E30" s="12" t="s">
        <v>11</v>
      </c>
      <c r="F30" s="21" t="s">
        <v>117</v>
      </c>
      <c r="G30" s="21" t="s">
        <v>118</v>
      </c>
      <c r="H30" s="21" t="s">
        <v>372</v>
      </c>
      <c r="I30" s="11" t="s">
        <v>246</v>
      </c>
      <c r="J30" s="11" t="s">
        <v>121</v>
      </c>
      <c r="K30" s="30" t="s">
        <v>124</v>
      </c>
    </row>
    <row r="31" customFormat="false" ht="15.75" hidden="false" customHeight="true" outlineLevel="0" collapsed="false">
      <c r="A31" s="29" t="s">
        <v>373</v>
      </c>
      <c r="B31" s="21" t="s">
        <v>354</v>
      </c>
      <c r="C31" s="21" t="s">
        <v>374</v>
      </c>
      <c r="D31" s="11" t="s">
        <v>280</v>
      </c>
      <c r="E31" s="12" t="s">
        <v>11</v>
      </c>
      <c r="F31" s="21" t="s">
        <v>172</v>
      </c>
      <c r="G31" s="21" t="s">
        <v>173</v>
      </c>
      <c r="H31" s="21" t="s">
        <v>375</v>
      </c>
      <c r="I31" s="11" t="s">
        <v>246</v>
      </c>
      <c r="J31" s="11" t="s">
        <v>121</v>
      </c>
      <c r="K31" s="30" t="s">
        <v>124</v>
      </c>
    </row>
    <row r="32" customFormat="false" ht="15.75" hidden="false" customHeight="true" outlineLevel="0" collapsed="false">
      <c r="A32" s="29" t="s">
        <v>376</v>
      </c>
      <c r="B32" s="21" t="s">
        <v>354</v>
      </c>
      <c r="C32" s="21" t="s">
        <v>377</v>
      </c>
      <c r="D32" s="11" t="s">
        <v>280</v>
      </c>
      <c r="E32" s="13" t="s">
        <v>12</v>
      </c>
      <c r="F32" s="21" t="s">
        <v>117</v>
      </c>
      <c r="G32" s="21" t="s">
        <v>118</v>
      </c>
      <c r="H32" s="21" t="s">
        <v>378</v>
      </c>
      <c r="I32" s="11" t="s">
        <v>246</v>
      </c>
      <c r="J32" s="11" t="s">
        <v>121</v>
      </c>
      <c r="K32" s="13" t="s">
        <v>114</v>
      </c>
    </row>
    <row r="33" customFormat="false" ht="15.75" hidden="false" customHeight="true" outlineLevel="0" collapsed="false">
      <c r="A33" s="29" t="s">
        <v>254</v>
      </c>
      <c r="B33" s="21" t="s">
        <v>354</v>
      </c>
      <c r="C33" s="21" t="s">
        <v>379</v>
      </c>
      <c r="D33" s="11" t="s">
        <v>280</v>
      </c>
      <c r="E33" s="13" t="s">
        <v>12</v>
      </c>
      <c r="F33" s="21" t="s">
        <v>172</v>
      </c>
      <c r="G33" s="21" t="s">
        <v>173</v>
      </c>
      <c r="H33" s="21" t="s">
        <v>380</v>
      </c>
      <c r="I33" s="11" t="s">
        <v>251</v>
      </c>
      <c r="J33" s="11" t="s">
        <v>255</v>
      </c>
      <c r="K33" s="13" t="s">
        <v>114</v>
      </c>
    </row>
    <row r="34" customFormat="false" ht="15.75" hidden="false" customHeight="true" outlineLevel="0" collapsed="false">
      <c r="A34" s="29" t="s">
        <v>269</v>
      </c>
      <c r="B34" s="21" t="s">
        <v>354</v>
      </c>
      <c r="C34" s="21" t="s">
        <v>381</v>
      </c>
      <c r="D34" s="11" t="s">
        <v>280</v>
      </c>
      <c r="E34" s="12" t="s">
        <v>11</v>
      </c>
      <c r="F34" s="21" t="s">
        <v>242</v>
      </c>
      <c r="G34" s="21" t="s">
        <v>243</v>
      </c>
      <c r="H34" s="21" t="s">
        <v>382</v>
      </c>
      <c r="I34" s="11" t="s">
        <v>239</v>
      </c>
      <c r="J34" s="11" t="s">
        <v>147</v>
      </c>
      <c r="K34" s="30" t="s">
        <v>124</v>
      </c>
    </row>
    <row r="35" customFormat="false" ht="15.75" hidden="false" customHeight="true" outlineLevel="0" collapsed="false">
      <c r="A35" s="29" t="s">
        <v>245</v>
      </c>
      <c r="B35" s="21" t="s">
        <v>354</v>
      </c>
      <c r="C35" s="21" t="s">
        <v>383</v>
      </c>
      <c r="D35" s="11" t="s">
        <v>280</v>
      </c>
      <c r="E35" s="12" t="s">
        <v>11</v>
      </c>
      <c r="F35" s="21" t="s">
        <v>242</v>
      </c>
      <c r="G35" s="21" t="s">
        <v>243</v>
      </c>
      <c r="H35" s="21" t="s">
        <v>384</v>
      </c>
      <c r="I35" s="11" t="s">
        <v>152</v>
      </c>
      <c r="J35" s="11" t="s">
        <v>147</v>
      </c>
      <c r="K35" s="30" t="s">
        <v>124</v>
      </c>
    </row>
    <row r="36" customFormat="false" ht="15.75" hidden="false" customHeight="true" outlineLevel="0" collapsed="false">
      <c r="A36" s="29" t="s">
        <v>158</v>
      </c>
      <c r="B36" s="21" t="s">
        <v>354</v>
      </c>
      <c r="C36" s="21" t="s">
        <v>385</v>
      </c>
      <c r="D36" s="11" t="s">
        <v>280</v>
      </c>
      <c r="E36" s="12" t="s">
        <v>11</v>
      </c>
      <c r="F36" s="21" t="s">
        <v>155</v>
      </c>
      <c r="G36" s="21" t="s">
        <v>156</v>
      </c>
      <c r="H36" s="21" t="s">
        <v>386</v>
      </c>
      <c r="I36" s="11" t="s">
        <v>152</v>
      </c>
      <c r="J36" s="11" t="s">
        <v>180</v>
      </c>
      <c r="K36" s="30" t="s">
        <v>124</v>
      </c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9" min="8" style="0" width="12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32" t="s">
        <v>387</v>
      </c>
      <c r="B1" s="32"/>
      <c r="C1" s="32"/>
      <c r="D1" s="32"/>
      <c r="E1" s="32"/>
      <c r="F1" s="32"/>
      <c r="G1" s="32"/>
      <c r="H1" s="32"/>
      <c r="I1" s="32"/>
      <c r="J1" s="32"/>
    </row>
    <row r="2" customFormat="false" ht="15" hidden="false" customHeight="true" outlineLevel="0" collapsed="false">
      <c r="A2" s="2" t="s">
        <v>388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18" t="s">
        <v>389</v>
      </c>
      <c r="B3" s="18" t="s">
        <v>390</v>
      </c>
      <c r="C3" s="18" t="s">
        <v>391</v>
      </c>
      <c r="D3" s="18" t="s">
        <v>17</v>
      </c>
      <c r="E3" s="18" t="s">
        <v>274</v>
      </c>
      <c r="F3" s="18" t="s">
        <v>75</v>
      </c>
      <c r="G3" s="18" t="s">
        <v>392</v>
      </c>
      <c r="H3" s="18" t="s">
        <v>275</v>
      </c>
      <c r="I3" s="18" t="s">
        <v>77</v>
      </c>
      <c r="J3" s="18" t="s">
        <v>393</v>
      </c>
    </row>
    <row r="4" customFormat="false" ht="15.75" hidden="false" customHeight="true" outlineLevel="0" collapsed="false">
      <c r="A4" s="33" t="s">
        <v>285</v>
      </c>
      <c r="B4" s="21" t="s">
        <v>394</v>
      </c>
      <c r="C4" s="21" t="s">
        <v>395</v>
      </c>
      <c r="D4" s="12" t="s">
        <v>11</v>
      </c>
      <c r="E4" s="21" t="s">
        <v>281</v>
      </c>
      <c r="F4" s="11" t="s">
        <v>282</v>
      </c>
      <c r="G4" s="21" t="s">
        <v>396</v>
      </c>
      <c r="H4" s="11" t="s">
        <v>284</v>
      </c>
      <c r="I4" s="11" t="s">
        <v>277</v>
      </c>
      <c r="J4" s="21" t="s">
        <v>397</v>
      </c>
    </row>
    <row r="5" customFormat="false" ht="15.75" hidden="false" customHeight="true" outlineLevel="0" collapsed="false">
      <c r="A5" s="33" t="s">
        <v>296</v>
      </c>
      <c r="B5" s="21" t="s">
        <v>394</v>
      </c>
      <c r="C5" s="21" t="s">
        <v>398</v>
      </c>
      <c r="D5" s="13" t="s">
        <v>12</v>
      </c>
      <c r="E5" s="21" t="s">
        <v>281</v>
      </c>
      <c r="F5" s="11" t="s">
        <v>282</v>
      </c>
      <c r="G5" s="21" t="s">
        <v>399</v>
      </c>
      <c r="H5" s="11" t="s">
        <v>152</v>
      </c>
      <c r="I5" s="11" t="s">
        <v>286</v>
      </c>
      <c r="J5" s="21" t="s">
        <v>400</v>
      </c>
    </row>
    <row r="6" customFormat="false" ht="15.75" hidden="false" customHeight="true" outlineLevel="0" collapsed="false">
      <c r="A6" s="33" t="s">
        <v>289</v>
      </c>
      <c r="B6" s="21" t="s">
        <v>394</v>
      </c>
      <c r="C6" s="21" t="s">
        <v>401</v>
      </c>
      <c r="D6" s="13" t="s">
        <v>12</v>
      </c>
      <c r="E6" s="21" t="s">
        <v>85</v>
      </c>
      <c r="F6" s="11" t="s">
        <v>86</v>
      </c>
      <c r="G6" s="21" t="s">
        <v>402</v>
      </c>
      <c r="H6" s="11" t="s">
        <v>81</v>
      </c>
      <c r="I6" s="11" t="s">
        <v>286</v>
      </c>
      <c r="J6" s="21" t="s">
        <v>403</v>
      </c>
    </row>
    <row r="7" customFormat="false" ht="15.75" hidden="false" customHeight="true" outlineLevel="0" collapsed="false">
      <c r="A7" s="33" t="s">
        <v>140</v>
      </c>
      <c r="B7" s="21" t="s">
        <v>394</v>
      </c>
      <c r="C7" s="21" t="s">
        <v>404</v>
      </c>
      <c r="D7" s="12" t="s">
        <v>11</v>
      </c>
      <c r="E7" s="21" t="s">
        <v>150</v>
      </c>
      <c r="F7" s="11" t="s">
        <v>106</v>
      </c>
      <c r="G7" s="21" t="s">
        <v>405</v>
      </c>
      <c r="H7" s="11" t="s">
        <v>148</v>
      </c>
      <c r="I7" s="11" t="s">
        <v>135</v>
      </c>
      <c r="J7" s="21" t="s">
        <v>406</v>
      </c>
    </row>
    <row r="8" customFormat="false" ht="15.75" hidden="false" customHeight="true" outlineLevel="0" collapsed="false">
      <c r="A8" s="33" t="s">
        <v>224</v>
      </c>
      <c r="B8" s="21" t="s">
        <v>394</v>
      </c>
      <c r="C8" s="21" t="s">
        <v>407</v>
      </c>
      <c r="D8" s="12" t="s">
        <v>11</v>
      </c>
      <c r="E8" s="21" t="s">
        <v>222</v>
      </c>
      <c r="F8" s="11" t="s">
        <v>206</v>
      </c>
      <c r="G8" s="21" t="s">
        <v>408</v>
      </c>
      <c r="H8" s="11" t="s">
        <v>220</v>
      </c>
      <c r="I8" s="11" t="s">
        <v>208</v>
      </c>
      <c r="J8" s="21" t="s">
        <v>409</v>
      </c>
    </row>
    <row r="9" customFormat="false" ht="15.75" hidden="false" customHeight="true" outlineLevel="0" collapsed="false">
      <c r="A9" s="33" t="s">
        <v>127</v>
      </c>
      <c r="B9" s="21" t="s">
        <v>394</v>
      </c>
      <c r="C9" s="21" t="s">
        <v>410</v>
      </c>
      <c r="D9" s="13" t="s">
        <v>12</v>
      </c>
      <c r="E9" s="21" t="s">
        <v>205</v>
      </c>
      <c r="F9" s="11" t="s">
        <v>206</v>
      </c>
      <c r="G9" s="21" t="s">
        <v>411</v>
      </c>
      <c r="H9" s="11" t="s">
        <v>220</v>
      </c>
      <c r="I9" s="11" t="s">
        <v>213</v>
      </c>
      <c r="J9" s="21" t="s">
        <v>412</v>
      </c>
    </row>
    <row r="10" customFormat="false" ht="15.75" hidden="false" customHeight="true" outlineLevel="0" collapsed="false">
      <c r="A10" s="33" t="s">
        <v>413</v>
      </c>
      <c r="B10" s="21" t="s">
        <v>394</v>
      </c>
      <c r="C10" s="21" t="s">
        <v>414</v>
      </c>
      <c r="D10" s="12" t="s">
        <v>11</v>
      </c>
      <c r="E10" s="21" t="s">
        <v>281</v>
      </c>
      <c r="F10" s="11" t="s">
        <v>282</v>
      </c>
      <c r="G10" s="21" t="s">
        <v>415</v>
      </c>
      <c r="H10" s="11" t="s">
        <v>416</v>
      </c>
      <c r="I10" s="11" t="s">
        <v>277</v>
      </c>
      <c r="J10" s="21" t="s">
        <v>409</v>
      </c>
    </row>
    <row r="11" customFormat="false" ht="15.75" hidden="false" customHeight="true" outlineLevel="0" collapsed="false">
      <c r="A11" s="33" t="s">
        <v>234</v>
      </c>
      <c r="B11" s="21" t="s">
        <v>394</v>
      </c>
      <c r="C11" s="21" t="s">
        <v>417</v>
      </c>
      <c r="D11" s="12" t="s">
        <v>11</v>
      </c>
      <c r="E11" s="21" t="s">
        <v>231</v>
      </c>
      <c r="F11" s="11" t="s">
        <v>156</v>
      </c>
      <c r="G11" s="21" t="s">
        <v>418</v>
      </c>
      <c r="H11" s="11" t="s">
        <v>229</v>
      </c>
      <c r="I11" s="11" t="s">
        <v>233</v>
      </c>
      <c r="J11" s="21" t="s">
        <v>419</v>
      </c>
    </row>
    <row r="12" customFormat="false" ht="15.75" hidden="false" customHeight="true" outlineLevel="0" collapsed="false">
      <c r="A12" s="33" t="s">
        <v>420</v>
      </c>
      <c r="B12" s="21" t="s">
        <v>394</v>
      </c>
      <c r="C12" s="21" t="s">
        <v>421</v>
      </c>
      <c r="D12" s="13" t="s">
        <v>12</v>
      </c>
      <c r="E12" s="21" t="s">
        <v>105</v>
      </c>
      <c r="F12" s="11" t="s">
        <v>106</v>
      </c>
      <c r="G12" s="21" t="s">
        <v>422</v>
      </c>
      <c r="H12" s="11" t="s">
        <v>103</v>
      </c>
      <c r="I12" s="11" t="s">
        <v>108</v>
      </c>
      <c r="J12" s="21" t="s">
        <v>423</v>
      </c>
    </row>
    <row r="13" customFormat="false" ht="15.75" hidden="false" customHeight="true" outlineLevel="0" collapsed="false">
      <c r="A13" s="33" t="s">
        <v>424</v>
      </c>
      <c r="B13" s="21" t="s">
        <v>394</v>
      </c>
      <c r="C13" s="21" t="s">
        <v>425</v>
      </c>
      <c r="D13" s="13" t="s">
        <v>12</v>
      </c>
      <c r="E13" s="21" t="s">
        <v>186</v>
      </c>
      <c r="F13" s="11" t="s">
        <v>156</v>
      </c>
      <c r="G13" s="21" t="s">
        <v>426</v>
      </c>
      <c r="H13" s="11" t="s">
        <v>427</v>
      </c>
      <c r="I13" s="11" t="s">
        <v>175</v>
      </c>
      <c r="J13" s="21" t="s">
        <v>428</v>
      </c>
    </row>
    <row r="14" customFormat="false" ht="15.75" hidden="false" customHeight="true" outlineLevel="0" collapsed="false">
      <c r="A14" s="33" t="s">
        <v>159</v>
      </c>
      <c r="B14" s="21" t="s">
        <v>394</v>
      </c>
      <c r="C14" s="21" t="s">
        <v>429</v>
      </c>
      <c r="D14" s="12" t="s">
        <v>11</v>
      </c>
      <c r="E14" s="21" t="s">
        <v>133</v>
      </c>
      <c r="F14" s="11" t="s">
        <v>118</v>
      </c>
      <c r="G14" s="21" t="s">
        <v>430</v>
      </c>
      <c r="H14" s="11" t="s">
        <v>152</v>
      </c>
      <c r="I14" s="11" t="s">
        <v>260</v>
      </c>
      <c r="J14" s="21" t="s">
        <v>431</v>
      </c>
    </row>
    <row r="15" customFormat="false" ht="15.75" hidden="false" customHeight="true" outlineLevel="0" collapsed="false">
      <c r="A15" s="33" t="s">
        <v>180</v>
      </c>
      <c r="B15" s="21" t="s">
        <v>394</v>
      </c>
      <c r="C15" s="21" t="s">
        <v>432</v>
      </c>
      <c r="D15" s="12" t="s">
        <v>11</v>
      </c>
      <c r="E15" s="21" t="s">
        <v>94</v>
      </c>
      <c r="F15" s="11" t="s">
        <v>86</v>
      </c>
      <c r="G15" s="21" t="s">
        <v>433</v>
      </c>
      <c r="H15" s="11" t="s">
        <v>177</v>
      </c>
      <c r="I15" s="11" t="s">
        <v>175</v>
      </c>
      <c r="J15" s="21" t="s">
        <v>434</v>
      </c>
    </row>
    <row r="16" customFormat="false" ht="15.75" hidden="false" customHeight="true" outlineLevel="0" collapsed="false">
      <c r="A16" s="33" t="s">
        <v>176</v>
      </c>
      <c r="B16" s="21" t="s">
        <v>394</v>
      </c>
      <c r="C16" s="21" t="s">
        <v>435</v>
      </c>
      <c r="D16" s="12" t="s">
        <v>11</v>
      </c>
      <c r="E16" s="21" t="s">
        <v>172</v>
      </c>
      <c r="F16" s="11" t="s">
        <v>173</v>
      </c>
      <c r="G16" s="21" t="s">
        <v>436</v>
      </c>
      <c r="H16" s="11" t="s">
        <v>181</v>
      </c>
      <c r="I16" s="11" t="s">
        <v>373</v>
      </c>
      <c r="J16" s="21" t="s">
        <v>437</v>
      </c>
    </row>
    <row r="17" customFormat="false" ht="15.75" hidden="false" customHeight="true" outlineLevel="0" collapsed="false">
      <c r="A17" s="33" t="s">
        <v>438</v>
      </c>
      <c r="B17" s="21" t="s">
        <v>394</v>
      </c>
      <c r="C17" s="21" t="s">
        <v>439</v>
      </c>
      <c r="D17" s="12" t="s">
        <v>11</v>
      </c>
      <c r="E17" s="21" t="s">
        <v>94</v>
      </c>
      <c r="F17" s="11" t="s">
        <v>86</v>
      </c>
      <c r="G17" s="21" t="s">
        <v>440</v>
      </c>
      <c r="H17" s="11" t="s">
        <v>177</v>
      </c>
      <c r="I17" s="11" t="s">
        <v>175</v>
      </c>
      <c r="J17" s="21" t="s">
        <v>441</v>
      </c>
    </row>
    <row r="18" customFormat="false" ht="15.75" hidden="false" customHeight="true" outlineLevel="0" collapsed="false">
      <c r="A18" s="33" t="s">
        <v>89</v>
      </c>
      <c r="B18" s="21" t="s">
        <v>394</v>
      </c>
      <c r="C18" s="21" t="s">
        <v>442</v>
      </c>
      <c r="D18" s="12" t="s">
        <v>11</v>
      </c>
      <c r="E18" s="21" t="s">
        <v>85</v>
      </c>
      <c r="F18" s="11" t="s">
        <v>86</v>
      </c>
      <c r="G18" s="21" t="s">
        <v>443</v>
      </c>
      <c r="H18" s="11" t="s">
        <v>81</v>
      </c>
      <c r="I18" s="11" t="s">
        <v>88</v>
      </c>
      <c r="J18" s="21" t="s">
        <v>444</v>
      </c>
    </row>
    <row r="19" customFormat="false" ht="15.75" hidden="false" customHeight="true" outlineLevel="0" collapsed="false">
      <c r="A19" s="33" t="s">
        <v>195</v>
      </c>
      <c r="B19" s="21" t="s">
        <v>394</v>
      </c>
      <c r="C19" s="21" t="s">
        <v>445</v>
      </c>
      <c r="D19" s="12" t="s">
        <v>11</v>
      </c>
      <c r="E19" s="21" t="s">
        <v>85</v>
      </c>
      <c r="F19" s="11" t="s">
        <v>86</v>
      </c>
      <c r="G19" s="21" t="s">
        <v>446</v>
      </c>
      <c r="H19" s="11" t="s">
        <v>196</v>
      </c>
      <c r="I19" s="11" t="s">
        <v>194</v>
      </c>
      <c r="J19" s="21" t="s">
        <v>409</v>
      </c>
    </row>
    <row r="20" customFormat="false" ht="15.75" hidden="false" customHeight="true" outlineLevel="0" collapsed="false">
      <c r="A20" s="33" t="s">
        <v>96</v>
      </c>
      <c r="B20" s="21" t="s">
        <v>394</v>
      </c>
      <c r="C20" s="21" t="s">
        <v>447</v>
      </c>
      <c r="D20" s="12" t="s">
        <v>11</v>
      </c>
      <c r="E20" s="21" t="s">
        <v>94</v>
      </c>
      <c r="F20" s="11" t="s">
        <v>86</v>
      </c>
      <c r="G20" s="21" t="s">
        <v>448</v>
      </c>
      <c r="H20" s="11" t="s">
        <v>92</v>
      </c>
      <c r="I20" s="11" t="s">
        <v>88</v>
      </c>
      <c r="J20" s="21" t="s">
        <v>449</v>
      </c>
    </row>
    <row r="21" customFormat="false" ht="15.75" hidden="false" customHeight="true" outlineLevel="0" collapsed="false">
      <c r="A21" s="33" t="s">
        <v>121</v>
      </c>
      <c r="B21" s="21" t="s">
        <v>394</v>
      </c>
      <c r="C21" s="21" t="s">
        <v>450</v>
      </c>
      <c r="D21" s="12" t="s">
        <v>11</v>
      </c>
      <c r="E21" s="21" t="s">
        <v>117</v>
      </c>
      <c r="F21" s="11" t="s">
        <v>118</v>
      </c>
      <c r="G21" s="21" t="s">
        <v>451</v>
      </c>
      <c r="H21" s="11" t="s">
        <v>246</v>
      </c>
      <c r="I21" s="11" t="s">
        <v>250</v>
      </c>
      <c r="J21" s="21" t="s">
        <v>452</v>
      </c>
    </row>
    <row r="22" customFormat="false" ht="15.75" hidden="false" customHeight="true" outlineLevel="0" collapsed="false">
      <c r="A22" s="33" t="s">
        <v>255</v>
      </c>
      <c r="B22" s="21" t="s">
        <v>394</v>
      </c>
      <c r="C22" s="21" t="s">
        <v>453</v>
      </c>
      <c r="D22" s="13" t="s">
        <v>12</v>
      </c>
      <c r="E22" s="21" t="s">
        <v>172</v>
      </c>
      <c r="F22" s="11" t="s">
        <v>173</v>
      </c>
      <c r="G22" s="21" t="s">
        <v>454</v>
      </c>
      <c r="H22" s="11" t="s">
        <v>251</v>
      </c>
      <c r="I22" s="11" t="s">
        <v>254</v>
      </c>
      <c r="J22" s="21" t="s">
        <v>455</v>
      </c>
    </row>
    <row r="23" customFormat="false" ht="15.75" hidden="false" customHeight="true" outlineLevel="0" collapsed="false">
      <c r="A23" s="33" t="s">
        <v>261</v>
      </c>
      <c r="B23" s="21" t="s">
        <v>394</v>
      </c>
      <c r="C23" s="21" t="s">
        <v>456</v>
      </c>
      <c r="D23" s="12" t="s">
        <v>11</v>
      </c>
      <c r="E23" s="21" t="s">
        <v>133</v>
      </c>
      <c r="F23" s="11" t="s">
        <v>118</v>
      </c>
      <c r="G23" s="21" t="s">
        <v>457</v>
      </c>
      <c r="H23" s="11" t="s">
        <v>256</v>
      </c>
      <c r="I23" s="11" t="s">
        <v>260</v>
      </c>
      <c r="J23" s="21" t="s">
        <v>458</v>
      </c>
    </row>
    <row r="24" customFormat="false" ht="15.75" hidden="false" customHeight="true" outlineLevel="0" collapsed="false">
      <c r="A24" s="33" t="s">
        <v>238</v>
      </c>
      <c r="B24" s="21" t="s">
        <v>394</v>
      </c>
      <c r="C24" s="21" t="s">
        <v>459</v>
      </c>
      <c r="D24" s="12" t="s">
        <v>11</v>
      </c>
      <c r="E24" s="21" t="s">
        <v>186</v>
      </c>
      <c r="F24" s="11" t="s">
        <v>156</v>
      </c>
      <c r="G24" s="21" t="s">
        <v>460</v>
      </c>
      <c r="H24" s="11" t="s">
        <v>235</v>
      </c>
      <c r="I24" s="11" t="s">
        <v>164</v>
      </c>
      <c r="J24" s="21" t="s">
        <v>461</v>
      </c>
    </row>
    <row r="25" customFormat="false" ht="15.75" hidden="false" customHeight="true" outlineLevel="0" collapsed="false">
      <c r="A25" s="33" t="s">
        <v>109</v>
      </c>
      <c r="B25" s="21" t="s">
        <v>394</v>
      </c>
      <c r="C25" s="21" t="s">
        <v>462</v>
      </c>
      <c r="D25" s="12" t="s">
        <v>11</v>
      </c>
      <c r="E25" s="21" t="s">
        <v>105</v>
      </c>
      <c r="F25" s="11" t="s">
        <v>106</v>
      </c>
      <c r="G25" s="21" t="s">
        <v>463</v>
      </c>
      <c r="H25" s="11" t="s">
        <v>262</v>
      </c>
      <c r="I25" s="11" t="s">
        <v>108</v>
      </c>
      <c r="J25" s="21" t="s">
        <v>406</v>
      </c>
    </row>
    <row r="26" customFormat="false" ht="15.75" hidden="false" customHeight="true" outlineLevel="0" collapsed="false">
      <c r="A26" s="33" t="s">
        <v>147</v>
      </c>
      <c r="B26" s="21" t="s">
        <v>394</v>
      </c>
      <c r="C26" s="21" t="s">
        <v>464</v>
      </c>
      <c r="D26" s="12" t="s">
        <v>11</v>
      </c>
      <c r="E26" s="21" t="s">
        <v>216</v>
      </c>
      <c r="F26" s="11" t="s">
        <v>217</v>
      </c>
      <c r="G26" s="21" t="s">
        <v>465</v>
      </c>
      <c r="H26" s="11" t="s">
        <v>214</v>
      </c>
      <c r="I26" s="11" t="s">
        <v>219</v>
      </c>
      <c r="J26" s="21" t="s">
        <v>466</v>
      </c>
    </row>
    <row r="27" customFormat="false" ht="15.75" hidden="false" customHeight="true" outlineLevel="0" collapsed="false">
      <c r="A27" s="33" t="s">
        <v>209</v>
      </c>
      <c r="B27" s="21" t="s">
        <v>394</v>
      </c>
      <c r="C27" s="21" t="s">
        <v>467</v>
      </c>
      <c r="D27" s="12" t="s">
        <v>11</v>
      </c>
      <c r="E27" s="21" t="s">
        <v>205</v>
      </c>
      <c r="F27" s="11" t="s">
        <v>206</v>
      </c>
      <c r="G27" s="21" t="s">
        <v>468</v>
      </c>
      <c r="H27" s="11" t="s">
        <v>210</v>
      </c>
      <c r="I27" s="11" t="s">
        <v>213</v>
      </c>
      <c r="J27" s="21" t="s">
        <v>469</v>
      </c>
    </row>
    <row r="28" customFormat="false" ht="15.75" hidden="false" customHeight="true" outlineLevel="0" collapsed="false">
      <c r="A28" s="33" t="s">
        <v>165</v>
      </c>
      <c r="B28" s="21" t="s">
        <v>394</v>
      </c>
      <c r="C28" s="21" t="s">
        <v>470</v>
      </c>
      <c r="D28" s="12" t="s">
        <v>11</v>
      </c>
      <c r="E28" s="21" t="s">
        <v>306</v>
      </c>
      <c r="F28" s="11" t="s">
        <v>206</v>
      </c>
      <c r="G28" s="21" t="s">
        <v>471</v>
      </c>
      <c r="H28" s="11" t="s">
        <v>210</v>
      </c>
      <c r="I28" s="11" t="s">
        <v>304</v>
      </c>
      <c r="J28" s="21" t="s">
        <v>472</v>
      </c>
    </row>
    <row r="29" customFormat="false" ht="15.75" hidden="false" customHeight="true" outlineLevel="0" collapsed="false">
      <c r="A29" s="33" t="s">
        <v>473</v>
      </c>
      <c r="B29" s="21" t="s">
        <v>394</v>
      </c>
      <c r="C29" s="21" t="s">
        <v>474</v>
      </c>
      <c r="D29" s="13" t="s">
        <v>12</v>
      </c>
      <c r="E29" s="21" t="s">
        <v>172</v>
      </c>
      <c r="F29" s="11" t="s">
        <v>173</v>
      </c>
      <c r="G29" s="21" t="s">
        <v>475</v>
      </c>
      <c r="H29" s="11" t="s">
        <v>427</v>
      </c>
      <c r="I29" s="11" t="s">
        <v>175</v>
      </c>
      <c r="J29" s="21" t="s">
        <v>476</v>
      </c>
    </row>
    <row r="30" customFormat="false" ht="15.75" hidden="false" customHeight="true" outlineLevel="0" collapsed="false">
      <c r="A30" s="33" t="s">
        <v>477</v>
      </c>
      <c r="B30" s="21" t="s">
        <v>394</v>
      </c>
      <c r="C30" s="21" t="s">
        <v>478</v>
      </c>
      <c r="D30" s="14" t="s">
        <v>13</v>
      </c>
      <c r="E30" s="21"/>
      <c r="F30" s="11" t="s">
        <v>124</v>
      </c>
      <c r="G30" s="21" t="s">
        <v>479</v>
      </c>
      <c r="H30" s="11" t="s">
        <v>480</v>
      </c>
      <c r="I30" s="11" t="s">
        <v>481</v>
      </c>
      <c r="J30" s="21" t="s">
        <v>482</v>
      </c>
    </row>
    <row r="31" customFormat="false" ht="15.75" hidden="false" customHeight="true" outlineLevel="0" collapsed="false">
      <c r="A31" s="33" t="s">
        <v>483</v>
      </c>
      <c r="B31" s="21" t="s">
        <v>394</v>
      </c>
      <c r="C31" s="21" t="s">
        <v>484</v>
      </c>
      <c r="D31" s="14" t="s">
        <v>13</v>
      </c>
      <c r="E31" s="21"/>
      <c r="F31" s="11" t="s">
        <v>124</v>
      </c>
      <c r="G31" s="21" t="s">
        <v>485</v>
      </c>
      <c r="H31" s="11" t="s">
        <v>480</v>
      </c>
      <c r="I31" s="11" t="s">
        <v>486</v>
      </c>
      <c r="J31" s="21" t="s">
        <v>482</v>
      </c>
    </row>
    <row r="32" customFormat="false" ht="15.75" hidden="false" customHeight="true" outlineLevel="0" collapsed="false">
      <c r="A32" s="33" t="s">
        <v>316</v>
      </c>
      <c r="B32" s="21" t="s">
        <v>487</v>
      </c>
      <c r="C32" s="21" t="s">
        <v>488</v>
      </c>
      <c r="D32" s="13" t="s">
        <v>12</v>
      </c>
      <c r="E32" s="21" t="s">
        <v>172</v>
      </c>
      <c r="F32" s="11" t="s">
        <v>173</v>
      </c>
      <c r="G32" s="21" t="s">
        <v>489</v>
      </c>
      <c r="H32" s="11" t="s">
        <v>315</v>
      </c>
      <c r="I32" s="11" t="s">
        <v>312</v>
      </c>
      <c r="J32" s="21" t="s">
        <v>490</v>
      </c>
    </row>
    <row r="33" customFormat="false" ht="15.75" hidden="false" customHeight="true" outlineLevel="0" collapsed="false">
      <c r="A33" s="33" t="s">
        <v>321</v>
      </c>
      <c r="B33" s="21" t="s">
        <v>487</v>
      </c>
      <c r="C33" s="21" t="s">
        <v>491</v>
      </c>
      <c r="D33" s="13" t="s">
        <v>12</v>
      </c>
      <c r="E33" s="21" t="s">
        <v>492</v>
      </c>
      <c r="F33" s="11" t="s">
        <v>243</v>
      </c>
      <c r="G33" s="21" t="s">
        <v>493</v>
      </c>
      <c r="H33" s="11" t="s">
        <v>494</v>
      </c>
      <c r="I33" s="11" t="s">
        <v>317</v>
      </c>
      <c r="J33" s="21" t="s">
        <v>495</v>
      </c>
    </row>
    <row r="34" customFormat="false" ht="15.75" hidden="false" customHeight="true" outlineLevel="0" collapsed="false">
      <c r="A34" s="33" t="s">
        <v>496</v>
      </c>
      <c r="B34" s="21" t="s">
        <v>497</v>
      </c>
      <c r="C34" s="21" t="s">
        <v>498</v>
      </c>
      <c r="D34" s="12" t="s">
        <v>11</v>
      </c>
      <c r="E34" s="21" t="s">
        <v>310</v>
      </c>
      <c r="F34" s="11" t="s">
        <v>217</v>
      </c>
      <c r="G34" s="21" t="s">
        <v>499</v>
      </c>
      <c r="H34" s="11" t="s">
        <v>500</v>
      </c>
      <c r="I34" s="11" t="s">
        <v>501</v>
      </c>
      <c r="J34" s="21" t="s">
        <v>466</v>
      </c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0"/>
    <col collapsed="false" customWidth="true" hidden="false" outlineLevel="0" max="8" min="8" style="0" width="34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22"/>
  </cols>
  <sheetData>
    <row r="1" customFormat="false" ht="31.5" hidden="false" customHeight="true" outlineLevel="0" collapsed="false">
      <c r="A1" s="34" t="s">
        <v>502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customFormat="false" ht="15" hidden="false" customHeight="true" outlineLevel="0" collapsed="false">
      <c r="A2" s="2" t="s">
        <v>503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5" t="s">
        <v>504</v>
      </c>
      <c r="B3" s="35" t="s">
        <v>505</v>
      </c>
      <c r="C3" s="35" t="s">
        <v>390</v>
      </c>
      <c r="D3" s="35" t="s">
        <v>506</v>
      </c>
      <c r="E3" s="35" t="s">
        <v>507</v>
      </c>
      <c r="F3" s="35" t="s">
        <v>508</v>
      </c>
      <c r="G3" s="35" t="s">
        <v>509</v>
      </c>
      <c r="H3" s="35" t="s">
        <v>510</v>
      </c>
      <c r="I3" s="35" t="s">
        <v>511</v>
      </c>
      <c r="J3" s="35" t="s">
        <v>512</v>
      </c>
      <c r="K3" s="35" t="s">
        <v>513</v>
      </c>
      <c r="L3" s="35" t="s">
        <v>17</v>
      </c>
      <c r="M3" s="35" t="s">
        <v>514</v>
      </c>
      <c r="N3" s="35" t="s">
        <v>274</v>
      </c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8" hidden="false" customHeight="true" outlineLevel="0" collapsed="false">
      <c r="A5" s="36" t="s">
        <v>515</v>
      </c>
      <c r="B5" s="21" t="s">
        <v>516</v>
      </c>
      <c r="C5" s="21" t="s">
        <v>517</v>
      </c>
      <c r="D5" s="37" t="n">
        <v>4</v>
      </c>
      <c r="E5" s="37" t="n">
        <v>4</v>
      </c>
      <c r="F5" s="38" t="n">
        <f aca="false">D5*E5</f>
        <v>16</v>
      </c>
      <c r="G5" s="39" t="s">
        <v>90</v>
      </c>
      <c r="H5" s="21" t="s">
        <v>518</v>
      </c>
      <c r="I5" s="11" t="s">
        <v>519</v>
      </c>
      <c r="J5" s="11" t="s">
        <v>520</v>
      </c>
      <c r="K5" s="11" t="s">
        <v>521</v>
      </c>
      <c r="L5" s="14" t="s">
        <v>522</v>
      </c>
      <c r="M5" s="12" t="s">
        <v>128</v>
      </c>
      <c r="N5" s="21" t="s">
        <v>523</v>
      </c>
    </row>
    <row r="6" customFormat="false" ht="18" hidden="false" customHeight="true" outlineLevel="0" collapsed="false">
      <c r="A6" s="36" t="s">
        <v>524</v>
      </c>
      <c r="B6" s="21" t="s">
        <v>525</v>
      </c>
      <c r="C6" s="21" t="s">
        <v>526</v>
      </c>
      <c r="D6" s="37" t="n">
        <v>3</v>
      </c>
      <c r="E6" s="37" t="n">
        <v>5</v>
      </c>
      <c r="F6" s="38" t="n">
        <f aca="false">D6*E6</f>
        <v>15</v>
      </c>
      <c r="G6" s="39" t="s">
        <v>90</v>
      </c>
      <c r="H6" s="21" t="s">
        <v>527</v>
      </c>
      <c r="I6" s="11" t="s">
        <v>519</v>
      </c>
      <c r="J6" s="11" t="s">
        <v>520</v>
      </c>
      <c r="K6" s="11" t="s">
        <v>528</v>
      </c>
      <c r="L6" s="14" t="s">
        <v>522</v>
      </c>
      <c r="M6" s="13" t="s">
        <v>114</v>
      </c>
      <c r="N6" s="21" t="s">
        <v>243</v>
      </c>
    </row>
    <row r="7" customFormat="false" ht="18" hidden="false" customHeight="true" outlineLevel="0" collapsed="false">
      <c r="A7" s="36" t="s">
        <v>529</v>
      </c>
      <c r="B7" s="21" t="s">
        <v>530</v>
      </c>
      <c r="C7" s="21" t="s">
        <v>45</v>
      </c>
      <c r="D7" s="37" t="n">
        <v>3</v>
      </c>
      <c r="E7" s="37" t="n">
        <v>5</v>
      </c>
      <c r="F7" s="38" t="n">
        <f aca="false">D7*E7</f>
        <v>15</v>
      </c>
      <c r="G7" s="39" t="s">
        <v>90</v>
      </c>
      <c r="H7" s="21" t="s">
        <v>531</v>
      </c>
      <c r="I7" s="11" t="s">
        <v>519</v>
      </c>
      <c r="J7" s="11" t="s">
        <v>520</v>
      </c>
      <c r="K7" s="11" t="s">
        <v>532</v>
      </c>
      <c r="L7" s="40" t="s">
        <v>20</v>
      </c>
      <c r="M7" s="12" t="s">
        <v>128</v>
      </c>
      <c r="N7" s="21" t="s">
        <v>533</v>
      </c>
    </row>
    <row r="8" customFormat="false" ht="18" hidden="false" customHeight="true" outlineLevel="0" collapsed="false">
      <c r="A8" s="36" t="s">
        <v>534</v>
      </c>
      <c r="B8" s="21" t="s">
        <v>535</v>
      </c>
      <c r="C8" s="21" t="s">
        <v>526</v>
      </c>
      <c r="D8" s="37" t="n">
        <v>3</v>
      </c>
      <c r="E8" s="37" t="n">
        <v>4</v>
      </c>
      <c r="F8" s="38" t="n">
        <f aca="false">D8*E8</f>
        <v>12</v>
      </c>
      <c r="G8" s="39" t="s">
        <v>90</v>
      </c>
      <c r="H8" s="21" t="s">
        <v>536</v>
      </c>
      <c r="I8" s="11" t="s">
        <v>519</v>
      </c>
      <c r="J8" s="11" t="s">
        <v>520</v>
      </c>
      <c r="K8" s="11" t="s">
        <v>528</v>
      </c>
      <c r="L8" s="14" t="s">
        <v>522</v>
      </c>
      <c r="M8" s="13" t="s">
        <v>114</v>
      </c>
      <c r="N8" s="21" t="s">
        <v>243</v>
      </c>
    </row>
    <row r="9" customFormat="false" ht="18" hidden="false" customHeight="true" outlineLevel="0" collapsed="false">
      <c r="A9" s="36" t="s">
        <v>537</v>
      </c>
      <c r="B9" s="21" t="s">
        <v>538</v>
      </c>
      <c r="C9" s="21" t="s">
        <v>82</v>
      </c>
      <c r="D9" s="37" t="n">
        <v>2</v>
      </c>
      <c r="E9" s="37" t="n">
        <v>5</v>
      </c>
      <c r="F9" s="38" t="n">
        <f aca="false">D9*E9</f>
        <v>10</v>
      </c>
      <c r="G9" s="13" t="s">
        <v>114</v>
      </c>
      <c r="H9" s="21" t="s">
        <v>539</v>
      </c>
      <c r="I9" s="11" t="s">
        <v>519</v>
      </c>
      <c r="J9" s="11" t="s">
        <v>520</v>
      </c>
      <c r="K9" s="11" t="s">
        <v>540</v>
      </c>
      <c r="L9" s="14" t="s">
        <v>522</v>
      </c>
      <c r="M9" s="12" t="s">
        <v>128</v>
      </c>
      <c r="N9" s="21" t="s">
        <v>541</v>
      </c>
    </row>
    <row r="10" customFormat="false" ht="18" hidden="false" customHeight="true" outlineLevel="0" collapsed="false">
      <c r="A10" s="36" t="s">
        <v>542</v>
      </c>
      <c r="B10" s="21" t="s">
        <v>543</v>
      </c>
      <c r="C10" s="21" t="s">
        <v>544</v>
      </c>
      <c r="D10" s="37" t="n">
        <v>3</v>
      </c>
      <c r="E10" s="37" t="n">
        <v>4</v>
      </c>
      <c r="F10" s="38" t="n">
        <f aca="false">D10*E10</f>
        <v>12</v>
      </c>
      <c r="G10" s="39" t="s">
        <v>90</v>
      </c>
      <c r="H10" s="21" t="s">
        <v>545</v>
      </c>
      <c r="I10" s="11" t="s">
        <v>519</v>
      </c>
      <c r="J10" s="11" t="s">
        <v>520</v>
      </c>
      <c r="K10" s="11" t="s">
        <v>546</v>
      </c>
      <c r="L10" s="14" t="s">
        <v>522</v>
      </c>
      <c r="M10" s="12" t="s">
        <v>128</v>
      </c>
      <c r="N10" s="21" t="s">
        <v>118</v>
      </c>
    </row>
    <row r="11" customFormat="false" ht="18" hidden="false" customHeight="true" outlineLevel="0" collapsed="false">
      <c r="A11" s="36" t="s">
        <v>547</v>
      </c>
      <c r="B11" s="21" t="s">
        <v>548</v>
      </c>
      <c r="C11" s="21" t="s">
        <v>549</v>
      </c>
      <c r="D11" s="37" t="n">
        <v>3</v>
      </c>
      <c r="E11" s="37" t="n">
        <v>5</v>
      </c>
      <c r="F11" s="38" t="n">
        <f aca="false">D11*E11</f>
        <v>15</v>
      </c>
      <c r="G11" s="39" t="s">
        <v>90</v>
      </c>
      <c r="H11" s="21" t="s">
        <v>550</v>
      </c>
      <c r="I11" s="11" t="s">
        <v>519</v>
      </c>
      <c r="J11" s="11" t="s">
        <v>520</v>
      </c>
      <c r="K11" s="11" t="s">
        <v>521</v>
      </c>
      <c r="L11" s="14" t="s">
        <v>522</v>
      </c>
      <c r="M11" s="13" t="s">
        <v>114</v>
      </c>
      <c r="N11" s="21" t="s">
        <v>156</v>
      </c>
    </row>
    <row r="12" customFormat="false" ht="18" hidden="false" customHeight="true" outlineLevel="0" collapsed="false">
      <c r="A12" s="36" t="s">
        <v>551</v>
      </c>
      <c r="B12" s="21" t="s">
        <v>552</v>
      </c>
      <c r="C12" s="21" t="s">
        <v>553</v>
      </c>
      <c r="D12" s="37" t="n">
        <v>2</v>
      </c>
      <c r="E12" s="37" t="n">
        <v>5</v>
      </c>
      <c r="F12" s="38" t="n">
        <f aca="false">D12*E12</f>
        <v>10</v>
      </c>
      <c r="G12" s="13" t="s">
        <v>114</v>
      </c>
      <c r="H12" s="21" t="s">
        <v>554</v>
      </c>
      <c r="I12" s="11" t="s">
        <v>519</v>
      </c>
      <c r="J12" s="11" t="s">
        <v>520</v>
      </c>
      <c r="K12" s="11" t="s">
        <v>546</v>
      </c>
      <c r="L12" s="14" t="s">
        <v>522</v>
      </c>
      <c r="M12" s="13" t="s">
        <v>114</v>
      </c>
      <c r="N12" s="21" t="s">
        <v>555</v>
      </c>
    </row>
    <row r="13" customFormat="false" ht="18" hidden="false" customHeight="true" outlineLevel="0" collapsed="false">
      <c r="A13" s="36" t="s">
        <v>556</v>
      </c>
      <c r="B13" s="21" t="s">
        <v>557</v>
      </c>
      <c r="C13" s="21" t="s">
        <v>558</v>
      </c>
      <c r="D13" s="37" t="n">
        <v>2</v>
      </c>
      <c r="E13" s="37" t="n">
        <v>4</v>
      </c>
      <c r="F13" s="38" t="n">
        <f aca="false">D13*E13</f>
        <v>8</v>
      </c>
      <c r="G13" s="13" t="s">
        <v>114</v>
      </c>
      <c r="H13" s="21" t="s">
        <v>559</v>
      </c>
      <c r="I13" s="11" t="s">
        <v>519</v>
      </c>
      <c r="J13" s="11" t="s">
        <v>520</v>
      </c>
      <c r="K13" s="11" t="s">
        <v>532</v>
      </c>
      <c r="L13" s="14" t="s">
        <v>522</v>
      </c>
      <c r="M13" s="12" t="s">
        <v>128</v>
      </c>
      <c r="N13" s="21" t="s">
        <v>173</v>
      </c>
    </row>
    <row r="14" customFormat="false" ht="18" hidden="false" customHeight="true" outlineLevel="0" collapsed="false">
      <c r="A14" s="36" t="s">
        <v>560</v>
      </c>
      <c r="B14" s="21" t="s">
        <v>561</v>
      </c>
      <c r="C14" s="21" t="s">
        <v>562</v>
      </c>
      <c r="D14" s="37" t="n">
        <v>3</v>
      </c>
      <c r="E14" s="37" t="n">
        <v>4</v>
      </c>
      <c r="F14" s="38" t="n">
        <f aca="false">D14*E14</f>
        <v>12</v>
      </c>
      <c r="G14" s="39" t="s">
        <v>90</v>
      </c>
      <c r="H14" s="21" t="s">
        <v>563</v>
      </c>
      <c r="I14" s="11" t="s">
        <v>519</v>
      </c>
      <c r="J14" s="11" t="s">
        <v>520</v>
      </c>
      <c r="K14" s="11" t="s">
        <v>521</v>
      </c>
      <c r="L14" s="14" t="s">
        <v>522</v>
      </c>
      <c r="M14" s="39" t="s">
        <v>90</v>
      </c>
      <c r="N14" s="21" t="s">
        <v>124</v>
      </c>
    </row>
    <row r="15" customFormat="false" ht="18" hidden="false" customHeight="true" outlineLevel="0" collapsed="false">
      <c r="A15" s="36" t="s">
        <v>564</v>
      </c>
      <c r="B15" s="21" t="s">
        <v>565</v>
      </c>
      <c r="C15" s="21" t="s">
        <v>487</v>
      </c>
      <c r="D15" s="37" t="n">
        <v>2</v>
      </c>
      <c r="E15" s="37" t="n">
        <v>3</v>
      </c>
      <c r="F15" s="38" t="n">
        <f aca="false">D15*E15</f>
        <v>6</v>
      </c>
      <c r="G15" s="13" t="s">
        <v>114</v>
      </c>
      <c r="H15" s="21" t="s">
        <v>566</v>
      </c>
      <c r="I15" s="11" t="s">
        <v>567</v>
      </c>
      <c r="J15" s="11" t="s">
        <v>520</v>
      </c>
      <c r="K15" s="11" t="s">
        <v>568</v>
      </c>
      <c r="L15" s="13" t="s">
        <v>569</v>
      </c>
      <c r="M15" s="13" t="s">
        <v>114</v>
      </c>
      <c r="N15" s="21" t="s">
        <v>118</v>
      </c>
    </row>
    <row r="16" customFormat="false" ht="18" hidden="false" customHeight="true" outlineLevel="0" collapsed="false">
      <c r="A16" s="36" t="s">
        <v>570</v>
      </c>
      <c r="B16" s="21" t="s">
        <v>571</v>
      </c>
      <c r="C16" s="21" t="s">
        <v>572</v>
      </c>
      <c r="D16" s="37" t="n">
        <v>3</v>
      </c>
      <c r="E16" s="37" t="n">
        <v>4</v>
      </c>
      <c r="F16" s="38" t="n">
        <f aca="false">D16*E16</f>
        <v>12</v>
      </c>
      <c r="G16" s="39" t="s">
        <v>90</v>
      </c>
      <c r="H16" s="21" t="s">
        <v>573</v>
      </c>
      <c r="I16" s="11" t="s">
        <v>519</v>
      </c>
      <c r="J16" s="11" t="s">
        <v>520</v>
      </c>
      <c r="K16" s="11" t="s">
        <v>532</v>
      </c>
      <c r="L16" s="14" t="s">
        <v>522</v>
      </c>
      <c r="M16" s="13" t="s">
        <v>114</v>
      </c>
      <c r="N16" s="21" t="s">
        <v>574</v>
      </c>
    </row>
    <row r="17" customFormat="false" ht="18" hidden="false" customHeight="true" outlineLevel="0" collapsed="false">
      <c r="A17" s="36" t="s">
        <v>575</v>
      </c>
      <c r="B17" s="21" t="s">
        <v>576</v>
      </c>
      <c r="C17" s="21" t="s">
        <v>577</v>
      </c>
      <c r="D17" s="37" t="n">
        <v>3</v>
      </c>
      <c r="E17" s="37" t="n">
        <v>4</v>
      </c>
      <c r="F17" s="38" t="n">
        <f aca="false">D17*E17</f>
        <v>12</v>
      </c>
      <c r="G17" s="39" t="s">
        <v>90</v>
      </c>
      <c r="H17" s="21" t="s">
        <v>578</v>
      </c>
      <c r="I17" s="11" t="s">
        <v>519</v>
      </c>
      <c r="J17" s="11" t="s">
        <v>520</v>
      </c>
      <c r="K17" s="11" t="s">
        <v>546</v>
      </c>
      <c r="L17" s="14" t="s">
        <v>522</v>
      </c>
      <c r="M17" s="39" t="s">
        <v>90</v>
      </c>
      <c r="N17" s="21" t="s">
        <v>124</v>
      </c>
    </row>
    <row r="18" customFormat="false" ht="18" hidden="false" customHeight="true" outlineLevel="0" collapsed="false">
      <c r="A18" s="36" t="s">
        <v>579</v>
      </c>
      <c r="B18" s="21" t="s">
        <v>580</v>
      </c>
      <c r="C18" s="21" t="s">
        <v>581</v>
      </c>
      <c r="D18" s="37" t="n">
        <v>2</v>
      </c>
      <c r="E18" s="37" t="n">
        <v>4</v>
      </c>
      <c r="F18" s="38" t="n">
        <f aca="false">D18*E18</f>
        <v>8</v>
      </c>
      <c r="G18" s="13" t="s">
        <v>114</v>
      </c>
      <c r="H18" s="21" t="s">
        <v>582</v>
      </c>
      <c r="I18" s="11" t="s">
        <v>519</v>
      </c>
      <c r="J18" s="11" t="s">
        <v>520</v>
      </c>
      <c r="K18" s="11" t="s">
        <v>546</v>
      </c>
      <c r="L18" s="14" t="s">
        <v>522</v>
      </c>
      <c r="M18" s="39" t="s">
        <v>90</v>
      </c>
      <c r="N18" s="21" t="s">
        <v>243</v>
      </c>
    </row>
    <row r="19" customFormat="false" ht="18" hidden="false" customHeight="true" outlineLevel="0" collapsed="false">
      <c r="A19" s="36" t="s">
        <v>583</v>
      </c>
      <c r="B19" s="21" t="s">
        <v>584</v>
      </c>
      <c r="C19" s="21" t="s">
        <v>45</v>
      </c>
      <c r="D19" s="37" t="n">
        <v>3</v>
      </c>
      <c r="E19" s="37" t="n">
        <v>3</v>
      </c>
      <c r="F19" s="38" t="n">
        <f aca="false">D19*E19</f>
        <v>9</v>
      </c>
      <c r="G19" s="13" t="s">
        <v>114</v>
      </c>
      <c r="H19" s="21" t="s">
        <v>585</v>
      </c>
      <c r="I19" s="11" t="s">
        <v>519</v>
      </c>
      <c r="J19" s="11" t="s">
        <v>520</v>
      </c>
      <c r="K19" s="11" t="s">
        <v>532</v>
      </c>
      <c r="L19" s="14" t="s">
        <v>522</v>
      </c>
      <c r="M19" s="12" t="s">
        <v>128</v>
      </c>
      <c r="N19" s="21" t="s">
        <v>586</v>
      </c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9" min="9" style="0" width="28"/>
    <col collapsed="false" customWidth="true" hidden="false" outlineLevel="0" max="10" min="10" style="0" width="36"/>
    <col collapsed="false" customWidth="true" hidden="false" outlineLevel="0" max="11" min="11" style="0" width="38"/>
    <col collapsed="false" customWidth="true" hidden="false" outlineLevel="0" max="12" min="12" style="0" width="22"/>
    <col collapsed="false" customWidth="true" hidden="false" outlineLevel="0" max="13" min="13" style="0" width="12"/>
  </cols>
  <sheetData>
    <row r="1" customFormat="false" ht="31.5" hidden="false" customHeight="true" outlineLevel="0" collapsed="false">
      <c r="A1" s="34" t="s">
        <v>587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customFormat="false" ht="15" hidden="false" customHeight="true" outlineLevel="0" collapsed="false">
      <c r="A2" s="2" t="s">
        <v>588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.75" hidden="false" customHeight="true" outlineLevel="0" collapsed="false">
      <c r="A3" s="35" t="s">
        <v>589</v>
      </c>
      <c r="B3" s="35" t="s">
        <v>505</v>
      </c>
      <c r="C3" s="35" t="s">
        <v>590</v>
      </c>
      <c r="D3" s="35" t="s">
        <v>591</v>
      </c>
      <c r="E3" s="35" t="s">
        <v>390</v>
      </c>
      <c r="F3" s="35" t="s">
        <v>17</v>
      </c>
      <c r="G3" s="35" t="s">
        <v>592</v>
      </c>
      <c r="H3" s="35" t="s">
        <v>593</v>
      </c>
      <c r="I3" s="35" t="s">
        <v>507</v>
      </c>
      <c r="J3" s="35" t="s">
        <v>594</v>
      </c>
      <c r="K3" s="35" t="s">
        <v>595</v>
      </c>
      <c r="L3" s="35" t="s">
        <v>596</v>
      </c>
      <c r="M3" s="35" t="s">
        <v>597</v>
      </c>
    </row>
    <row r="4" customFormat="false" ht="30" hidden="false" customHeight="true" outlineLevel="0" collapsed="false">
      <c r="A4" s="24" t="s">
        <v>598</v>
      </c>
      <c r="B4" s="21" t="s">
        <v>525</v>
      </c>
      <c r="C4" s="11" t="s">
        <v>599</v>
      </c>
      <c r="D4" s="41" t="s">
        <v>90</v>
      </c>
      <c r="E4" s="11" t="s">
        <v>600</v>
      </c>
      <c r="F4" s="12" t="s">
        <v>597</v>
      </c>
      <c r="G4" s="21" t="s">
        <v>601</v>
      </c>
      <c r="H4" s="21" t="s">
        <v>602</v>
      </c>
      <c r="I4" s="21" t="s">
        <v>603</v>
      </c>
      <c r="J4" s="21" t="s">
        <v>604</v>
      </c>
      <c r="K4" s="21" t="s">
        <v>605</v>
      </c>
      <c r="L4" s="21" t="s">
        <v>606</v>
      </c>
      <c r="M4" s="11" t="s">
        <v>607</v>
      </c>
    </row>
    <row r="5" customFormat="false" ht="30" hidden="false" customHeight="true" outlineLevel="0" collapsed="false">
      <c r="A5" s="24" t="s">
        <v>608</v>
      </c>
      <c r="B5" s="21" t="s">
        <v>609</v>
      </c>
      <c r="C5" s="11" t="s">
        <v>610</v>
      </c>
      <c r="D5" s="13" t="s">
        <v>114</v>
      </c>
      <c r="E5" s="11" t="s">
        <v>611</v>
      </c>
      <c r="F5" s="12" t="s">
        <v>597</v>
      </c>
      <c r="G5" s="21" t="s">
        <v>105</v>
      </c>
      <c r="H5" s="21" t="s">
        <v>612</v>
      </c>
      <c r="I5" s="21" t="s">
        <v>613</v>
      </c>
      <c r="J5" s="21" t="s">
        <v>614</v>
      </c>
      <c r="K5" s="21" t="s">
        <v>615</v>
      </c>
      <c r="L5" s="21" t="s">
        <v>616</v>
      </c>
      <c r="M5" s="11" t="s">
        <v>617</v>
      </c>
    </row>
    <row r="6" customFormat="false" ht="30" hidden="false" customHeight="true" outlineLevel="0" collapsed="false">
      <c r="A6" s="24" t="s">
        <v>618</v>
      </c>
      <c r="B6" s="21" t="s">
        <v>619</v>
      </c>
      <c r="C6" s="11" t="s">
        <v>620</v>
      </c>
      <c r="D6" s="41" t="s">
        <v>90</v>
      </c>
      <c r="E6" s="11" t="s">
        <v>600</v>
      </c>
      <c r="F6" s="12" t="s">
        <v>597</v>
      </c>
      <c r="G6" s="21" t="s">
        <v>601</v>
      </c>
      <c r="H6" s="21" t="s">
        <v>621</v>
      </c>
      <c r="I6" s="21" t="s">
        <v>622</v>
      </c>
      <c r="J6" s="21" t="s">
        <v>623</v>
      </c>
      <c r="K6" s="21" t="s">
        <v>624</v>
      </c>
      <c r="L6" s="21" t="s">
        <v>625</v>
      </c>
      <c r="M6" s="11" t="s">
        <v>626</v>
      </c>
    </row>
    <row r="7" customFormat="false" ht="30" hidden="false" customHeight="true" outlineLevel="0" collapsed="false">
      <c r="A7" s="24" t="s">
        <v>627</v>
      </c>
      <c r="B7" s="21" t="s">
        <v>584</v>
      </c>
      <c r="C7" s="11" t="s">
        <v>628</v>
      </c>
      <c r="D7" s="12" t="s">
        <v>128</v>
      </c>
      <c r="E7" s="11" t="s">
        <v>629</v>
      </c>
      <c r="F7" s="12" t="s">
        <v>597</v>
      </c>
      <c r="G7" s="21" t="s">
        <v>630</v>
      </c>
      <c r="H7" s="21" t="s">
        <v>631</v>
      </c>
      <c r="I7" s="21" t="s">
        <v>632</v>
      </c>
      <c r="J7" s="21" t="s">
        <v>633</v>
      </c>
      <c r="K7" s="21" t="s">
        <v>634</v>
      </c>
      <c r="L7" s="21" t="s">
        <v>635</v>
      </c>
      <c r="M7" s="11" t="s">
        <v>636</v>
      </c>
    </row>
    <row r="8" customFormat="false" ht="30" hidden="false" customHeight="true" outlineLevel="0" collapsed="false">
      <c r="A8" s="24" t="s">
        <v>637</v>
      </c>
      <c r="B8" s="21" t="s">
        <v>638</v>
      </c>
      <c r="C8" s="11" t="s">
        <v>639</v>
      </c>
      <c r="D8" s="41" t="s">
        <v>90</v>
      </c>
      <c r="E8" s="11" t="s">
        <v>538</v>
      </c>
      <c r="F8" s="12" t="s">
        <v>597</v>
      </c>
      <c r="G8" s="21" t="s">
        <v>150</v>
      </c>
      <c r="H8" s="21" t="s">
        <v>640</v>
      </c>
      <c r="I8" s="21" t="s">
        <v>641</v>
      </c>
      <c r="J8" s="21" t="s">
        <v>642</v>
      </c>
      <c r="K8" s="21" t="s">
        <v>643</v>
      </c>
      <c r="L8" s="21" t="s">
        <v>644</v>
      </c>
      <c r="M8" s="11" t="s">
        <v>645</v>
      </c>
    </row>
    <row r="9" customFormat="false" ht="30" hidden="false" customHeight="true" outlineLevel="0" collapsed="false">
      <c r="A9" s="24" t="s">
        <v>646</v>
      </c>
      <c r="B9" s="21" t="s">
        <v>647</v>
      </c>
      <c r="C9" s="11" t="s">
        <v>648</v>
      </c>
      <c r="D9" s="41" t="s">
        <v>90</v>
      </c>
      <c r="E9" s="11" t="s">
        <v>544</v>
      </c>
      <c r="F9" s="12" t="s">
        <v>597</v>
      </c>
      <c r="G9" s="21" t="s">
        <v>649</v>
      </c>
      <c r="H9" s="21" t="s">
        <v>650</v>
      </c>
      <c r="I9" s="21" t="s">
        <v>651</v>
      </c>
      <c r="J9" s="21" t="s">
        <v>652</v>
      </c>
      <c r="K9" s="21" t="s">
        <v>653</v>
      </c>
      <c r="L9" s="21" t="s">
        <v>606</v>
      </c>
      <c r="M9" s="11" t="s">
        <v>654</v>
      </c>
    </row>
    <row r="10" customFormat="false" ht="30" hidden="false" customHeight="true" outlineLevel="0" collapsed="false">
      <c r="A10" s="24" t="s">
        <v>655</v>
      </c>
      <c r="B10" s="21" t="s">
        <v>656</v>
      </c>
      <c r="C10" s="11" t="s">
        <v>657</v>
      </c>
      <c r="D10" s="41" t="s">
        <v>90</v>
      </c>
      <c r="E10" s="11" t="s">
        <v>658</v>
      </c>
      <c r="F10" s="12" t="s">
        <v>597</v>
      </c>
      <c r="G10" s="21" t="s">
        <v>659</v>
      </c>
      <c r="H10" s="21" t="s">
        <v>660</v>
      </c>
      <c r="I10" s="21" t="s">
        <v>661</v>
      </c>
      <c r="J10" s="21" t="s">
        <v>662</v>
      </c>
      <c r="K10" s="21" t="s">
        <v>663</v>
      </c>
      <c r="L10" s="21" t="s">
        <v>664</v>
      </c>
      <c r="M10" s="11" t="s">
        <v>665</v>
      </c>
    </row>
    <row r="11" customFormat="false" ht="30" hidden="false" customHeight="true" outlineLevel="0" collapsed="false">
      <c r="A11" s="24" t="s">
        <v>666</v>
      </c>
      <c r="B11" s="21" t="s">
        <v>667</v>
      </c>
      <c r="C11" s="11" t="s">
        <v>668</v>
      </c>
      <c r="D11" s="41" t="s">
        <v>90</v>
      </c>
      <c r="E11" s="11" t="s">
        <v>669</v>
      </c>
      <c r="F11" s="12" t="s">
        <v>597</v>
      </c>
      <c r="G11" s="21" t="s">
        <v>670</v>
      </c>
      <c r="H11" s="21" t="s">
        <v>671</v>
      </c>
      <c r="I11" s="21" t="s">
        <v>672</v>
      </c>
      <c r="J11" s="21" t="s">
        <v>673</v>
      </c>
      <c r="K11" s="21" t="s">
        <v>674</v>
      </c>
      <c r="L11" s="21" t="s">
        <v>675</v>
      </c>
      <c r="M11" s="11" t="s">
        <v>676</v>
      </c>
    </row>
    <row r="12" customFormat="false" ht="30" hidden="false" customHeight="true" outlineLevel="0" collapsed="false">
      <c r="A12" s="24" t="s">
        <v>677</v>
      </c>
      <c r="B12" s="21" t="s">
        <v>678</v>
      </c>
      <c r="C12" s="11" t="s">
        <v>679</v>
      </c>
      <c r="D12" s="13" t="s">
        <v>114</v>
      </c>
      <c r="E12" s="11" t="s">
        <v>680</v>
      </c>
      <c r="F12" s="12" t="s">
        <v>597</v>
      </c>
      <c r="G12" s="21" t="s">
        <v>681</v>
      </c>
      <c r="H12" s="21" t="s">
        <v>682</v>
      </c>
      <c r="I12" s="21" t="s">
        <v>683</v>
      </c>
      <c r="J12" s="21" t="s">
        <v>684</v>
      </c>
      <c r="K12" s="21" t="s">
        <v>685</v>
      </c>
      <c r="L12" s="21" t="s">
        <v>686</v>
      </c>
      <c r="M12" s="11" t="s">
        <v>687</v>
      </c>
    </row>
    <row r="13" customFormat="false" ht="30" hidden="false" customHeight="true" outlineLevel="0" collapsed="false">
      <c r="A13" s="24" t="s">
        <v>688</v>
      </c>
      <c r="B13" s="21" t="s">
        <v>689</v>
      </c>
      <c r="C13" s="11" t="s">
        <v>690</v>
      </c>
      <c r="D13" s="41" t="s">
        <v>90</v>
      </c>
      <c r="E13" s="11" t="s">
        <v>691</v>
      </c>
      <c r="F13" s="12" t="s">
        <v>597</v>
      </c>
      <c r="G13" s="21" t="s">
        <v>601</v>
      </c>
      <c r="H13" s="21" t="s">
        <v>692</v>
      </c>
      <c r="I13" s="21" t="s">
        <v>693</v>
      </c>
      <c r="J13" s="21" t="s">
        <v>694</v>
      </c>
      <c r="K13" s="21" t="s">
        <v>695</v>
      </c>
      <c r="L13" s="21" t="s">
        <v>696</v>
      </c>
      <c r="M13" s="11" t="s">
        <v>697</v>
      </c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24"/>
    <col collapsed="false" customWidth="true" hidden="false" outlineLevel="0" max="11" min="11" style="0" width="18"/>
    <col collapsed="false" customWidth="true" hidden="false" outlineLevel="0" max="12" min="12" style="0" width="32"/>
  </cols>
  <sheetData>
    <row r="1" customFormat="false" ht="31.5" hidden="false" customHeight="true" outlineLevel="0" collapsed="false">
      <c r="A1" s="42" t="s">
        <v>698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customFormat="false" ht="15" hidden="false" customHeight="true" outlineLevel="0" collapsed="false">
      <c r="A2" s="2" t="s">
        <v>699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43" t="s">
        <v>700</v>
      </c>
      <c r="B3" s="43" t="s">
        <v>505</v>
      </c>
      <c r="C3" s="43" t="s">
        <v>701</v>
      </c>
      <c r="D3" s="43" t="s">
        <v>79</v>
      </c>
      <c r="E3" s="43" t="s">
        <v>390</v>
      </c>
      <c r="F3" s="43" t="s">
        <v>512</v>
      </c>
      <c r="G3" s="43" t="s">
        <v>513</v>
      </c>
      <c r="H3" s="43" t="s">
        <v>17</v>
      </c>
      <c r="I3" s="43" t="s">
        <v>702</v>
      </c>
      <c r="J3" s="43" t="s">
        <v>596</v>
      </c>
      <c r="K3" s="43" t="s">
        <v>703</v>
      </c>
      <c r="L3" s="43" t="s">
        <v>76</v>
      </c>
    </row>
    <row r="4" customFormat="false" ht="19.5" hidden="false" customHeight="true" outlineLevel="0" collapsed="false">
      <c r="A4" s="23" t="s">
        <v>704</v>
      </c>
      <c r="B4" s="21" t="s">
        <v>705</v>
      </c>
      <c r="C4" s="21" t="s">
        <v>598</v>
      </c>
      <c r="D4" s="44" t="s">
        <v>706</v>
      </c>
      <c r="E4" s="21" t="s">
        <v>526</v>
      </c>
      <c r="F4" s="11" t="s">
        <v>520</v>
      </c>
      <c r="G4" s="11" t="s">
        <v>528</v>
      </c>
      <c r="H4" s="12" t="s">
        <v>707</v>
      </c>
      <c r="I4" s="45" t="n">
        <v>100</v>
      </c>
      <c r="J4" s="21" t="s">
        <v>625</v>
      </c>
      <c r="K4" s="21" t="s">
        <v>708</v>
      </c>
      <c r="L4" s="21" t="s">
        <v>709</v>
      </c>
    </row>
    <row r="5" customFormat="false" ht="19.5" hidden="false" customHeight="true" outlineLevel="0" collapsed="false">
      <c r="A5" s="23" t="s">
        <v>710</v>
      </c>
      <c r="B5" s="21" t="s">
        <v>711</v>
      </c>
      <c r="C5" s="21" t="s">
        <v>618</v>
      </c>
      <c r="D5" s="44" t="s">
        <v>706</v>
      </c>
      <c r="E5" s="21" t="s">
        <v>526</v>
      </c>
      <c r="F5" s="11" t="s">
        <v>520</v>
      </c>
      <c r="G5" s="11" t="s">
        <v>528</v>
      </c>
      <c r="H5" s="12" t="s">
        <v>707</v>
      </c>
      <c r="I5" s="45" t="n">
        <v>100</v>
      </c>
      <c r="J5" s="21" t="s">
        <v>625</v>
      </c>
      <c r="K5" s="21" t="s">
        <v>708</v>
      </c>
      <c r="L5" s="21" t="s">
        <v>712</v>
      </c>
    </row>
    <row r="6" customFormat="false" ht="19.5" hidden="false" customHeight="true" outlineLevel="0" collapsed="false">
      <c r="A6" s="23" t="s">
        <v>713</v>
      </c>
      <c r="B6" s="21" t="s">
        <v>714</v>
      </c>
      <c r="C6" s="21" t="s">
        <v>608</v>
      </c>
      <c r="D6" s="41" t="s">
        <v>90</v>
      </c>
      <c r="E6" s="21" t="s">
        <v>82</v>
      </c>
      <c r="F6" s="11" t="s">
        <v>520</v>
      </c>
      <c r="G6" s="11" t="s">
        <v>521</v>
      </c>
      <c r="H6" s="12" t="s">
        <v>707</v>
      </c>
      <c r="I6" s="45" t="n">
        <v>100</v>
      </c>
      <c r="J6" s="21" t="s">
        <v>715</v>
      </c>
      <c r="K6" s="21" t="s">
        <v>708</v>
      </c>
      <c r="L6" s="21" t="s">
        <v>716</v>
      </c>
    </row>
    <row r="7" customFormat="false" ht="19.5" hidden="false" customHeight="true" outlineLevel="0" collapsed="false">
      <c r="A7" s="23" t="s">
        <v>717</v>
      </c>
      <c r="B7" s="21" t="s">
        <v>718</v>
      </c>
      <c r="C7" s="21" t="s">
        <v>719</v>
      </c>
      <c r="D7" s="41" t="s">
        <v>90</v>
      </c>
      <c r="E7" s="21" t="s">
        <v>720</v>
      </c>
      <c r="F7" s="11" t="s">
        <v>520</v>
      </c>
      <c r="G7" s="11" t="s">
        <v>532</v>
      </c>
      <c r="H7" s="40" t="s">
        <v>20</v>
      </c>
      <c r="I7" s="46" t="n">
        <v>60</v>
      </c>
      <c r="J7" s="21" t="s">
        <v>686</v>
      </c>
      <c r="K7" s="21" t="s">
        <v>708</v>
      </c>
      <c r="L7" s="21" t="s">
        <v>721</v>
      </c>
    </row>
    <row r="8" customFormat="false" ht="19.5" hidden="false" customHeight="true" outlineLevel="0" collapsed="false">
      <c r="A8" s="23" t="s">
        <v>722</v>
      </c>
      <c r="B8" s="21" t="s">
        <v>723</v>
      </c>
      <c r="C8" s="21" t="s">
        <v>688</v>
      </c>
      <c r="D8" s="44" t="s">
        <v>706</v>
      </c>
      <c r="E8" s="21" t="s">
        <v>724</v>
      </c>
      <c r="F8" s="11" t="s">
        <v>520</v>
      </c>
      <c r="G8" s="11" t="s">
        <v>725</v>
      </c>
      <c r="H8" s="12" t="s">
        <v>707</v>
      </c>
      <c r="I8" s="45" t="n">
        <v>100</v>
      </c>
      <c r="J8" s="21" t="s">
        <v>696</v>
      </c>
      <c r="K8" s="21" t="s">
        <v>708</v>
      </c>
      <c r="L8" s="21" t="s">
        <v>726</v>
      </c>
    </row>
    <row r="9" customFormat="false" ht="19.5" hidden="false" customHeight="true" outlineLevel="0" collapsed="false">
      <c r="A9" s="23" t="s">
        <v>727</v>
      </c>
      <c r="B9" s="21" t="s">
        <v>728</v>
      </c>
      <c r="C9" s="21" t="s">
        <v>655</v>
      </c>
      <c r="D9" s="41" t="s">
        <v>90</v>
      </c>
      <c r="E9" s="21" t="s">
        <v>729</v>
      </c>
      <c r="F9" s="11" t="s">
        <v>520</v>
      </c>
      <c r="G9" s="11" t="s">
        <v>521</v>
      </c>
      <c r="H9" s="12" t="s">
        <v>707</v>
      </c>
      <c r="I9" s="45" t="n">
        <v>100</v>
      </c>
      <c r="J9" s="21" t="s">
        <v>664</v>
      </c>
      <c r="K9" s="21" t="s">
        <v>708</v>
      </c>
      <c r="L9" s="21" t="s">
        <v>730</v>
      </c>
    </row>
    <row r="10" customFormat="false" ht="19.5" hidden="false" customHeight="true" outlineLevel="0" collapsed="false">
      <c r="A10" s="23" t="s">
        <v>731</v>
      </c>
      <c r="B10" s="21" t="s">
        <v>732</v>
      </c>
      <c r="C10" s="21" t="s">
        <v>666</v>
      </c>
      <c r="D10" s="41" t="s">
        <v>90</v>
      </c>
      <c r="E10" s="21" t="s">
        <v>733</v>
      </c>
      <c r="F10" s="11" t="s">
        <v>520</v>
      </c>
      <c r="G10" s="11" t="s">
        <v>521</v>
      </c>
      <c r="H10" s="12" t="s">
        <v>707</v>
      </c>
      <c r="I10" s="45" t="n">
        <v>100</v>
      </c>
      <c r="J10" s="21" t="s">
        <v>675</v>
      </c>
      <c r="K10" s="21" t="s">
        <v>708</v>
      </c>
      <c r="L10" s="21" t="s">
        <v>734</v>
      </c>
    </row>
    <row r="11" customFormat="false" ht="19.5" hidden="false" customHeight="true" outlineLevel="0" collapsed="false">
      <c r="A11" s="23" t="s">
        <v>735</v>
      </c>
      <c r="B11" s="21" t="s">
        <v>736</v>
      </c>
      <c r="C11" s="21" t="s">
        <v>637</v>
      </c>
      <c r="D11" s="44" t="s">
        <v>706</v>
      </c>
      <c r="E11" s="21" t="s">
        <v>82</v>
      </c>
      <c r="F11" s="11" t="s">
        <v>520</v>
      </c>
      <c r="G11" s="11" t="s">
        <v>737</v>
      </c>
      <c r="H11" s="12" t="s">
        <v>707</v>
      </c>
      <c r="I11" s="45" t="n">
        <v>100</v>
      </c>
      <c r="J11" s="21" t="s">
        <v>644</v>
      </c>
      <c r="K11" s="21" t="s">
        <v>708</v>
      </c>
      <c r="L11" s="21" t="s">
        <v>738</v>
      </c>
    </row>
    <row r="12" customFormat="false" ht="19.5" hidden="false" customHeight="true" outlineLevel="0" collapsed="false">
      <c r="A12" s="23" t="s">
        <v>739</v>
      </c>
      <c r="B12" s="21" t="s">
        <v>740</v>
      </c>
      <c r="C12" s="21" t="s">
        <v>575</v>
      </c>
      <c r="D12" s="41" t="s">
        <v>90</v>
      </c>
      <c r="E12" s="21" t="s">
        <v>741</v>
      </c>
      <c r="F12" s="11" t="s">
        <v>520</v>
      </c>
      <c r="G12" s="11" t="s">
        <v>546</v>
      </c>
      <c r="H12" s="14" t="s">
        <v>742</v>
      </c>
      <c r="I12" s="47" t="n">
        <v>0</v>
      </c>
      <c r="J12" s="21" t="s">
        <v>743</v>
      </c>
      <c r="K12" s="21" t="s">
        <v>708</v>
      </c>
      <c r="L12" s="21" t="s">
        <v>744</v>
      </c>
    </row>
    <row r="13" customFormat="false" ht="19.5" hidden="false" customHeight="true" outlineLevel="0" collapsed="false">
      <c r="A13" s="23" t="s">
        <v>745</v>
      </c>
      <c r="B13" s="21" t="s">
        <v>746</v>
      </c>
      <c r="C13" s="21" t="s">
        <v>747</v>
      </c>
      <c r="D13" s="41" t="s">
        <v>90</v>
      </c>
      <c r="E13" s="21" t="s">
        <v>741</v>
      </c>
      <c r="F13" s="11" t="s">
        <v>520</v>
      </c>
      <c r="G13" s="11" t="s">
        <v>532</v>
      </c>
      <c r="H13" s="40" t="s">
        <v>20</v>
      </c>
      <c r="I13" s="46" t="n">
        <v>25</v>
      </c>
      <c r="J13" s="21" t="s">
        <v>748</v>
      </c>
      <c r="K13" s="21" t="s">
        <v>708</v>
      </c>
      <c r="L13" s="21" t="s">
        <v>749</v>
      </c>
    </row>
    <row r="14" customFormat="false" ht="19.5" hidden="false" customHeight="true" outlineLevel="0" collapsed="false">
      <c r="A14" s="23" t="s">
        <v>750</v>
      </c>
      <c r="B14" s="21" t="s">
        <v>751</v>
      </c>
      <c r="C14" s="21" t="s">
        <v>579</v>
      </c>
      <c r="D14" s="41" t="s">
        <v>90</v>
      </c>
      <c r="E14" s="21" t="s">
        <v>581</v>
      </c>
      <c r="F14" s="11" t="s">
        <v>520</v>
      </c>
      <c r="G14" s="11" t="s">
        <v>546</v>
      </c>
      <c r="H14" s="14" t="s">
        <v>742</v>
      </c>
      <c r="I14" s="47" t="n">
        <v>0</v>
      </c>
      <c r="J14" s="21" t="s">
        <v>752</v>
      </c>
      <c r="K14" s="21" t="s">
        <v>753</v>
      </c>
      <c r="L14" s="21" t="s">
        <v>754</v>
      </c>
    </row>
    <row r="15" customFormat="false" ht="19.5" hidden="false" customHeight="true" outlineLevel="0" collapsed="false">
      <c r="A15" s="23" t="s">
        <v>755</v>
      </c>
      <c r="B15" s="21" t="s">
        <v>756</v>
      </c>
      <c r="C15" s="21" t="s">
        <v>515</v>
      </c>
      <c r="D15" s="41" t="s">
        <v>90</v>
      </c>
      <c r="E15" s="21" t="s">
        <v>517</v>
      </c>
      <c r="F15" s="11" t="s">
        <v>520</v>
      </c>
      <c r="G15" s="11" t="s">
        <v>532</v>
      </c>
      <c r="H15" s="14" t="s">
        <v>742</v>
      </c>
      <c r="I15" s="47" t="n">
        <v>0</v>
      </c>
      <c r="J15" s="21" t="s">
        <v>757</v>
      </c>
      <c r="K15" s="21" t="s">
        <v>758</v>
      </c>
      <c r="L15" s="21" t="s">
        <v>759</v>
      </c>
    </row>
    <row r="16" customFormat="false" ht="19.5" hidden="false" customHeight="true" outlineLevel="0" collapsed="false">
      <c r="A16" s="23" t="s">
        <v>760</v>
      </c>
      <c r="B16" s="21" t="s">
        <v>761</v>
      </c>
      <c r="C16" s="21" t="s">
        <v>547</v>
      </c>
      <c r="D16" s="41" t="s">
        <v>90</v>
      </c>
      <c r="E16" s="21" t="s">
        <v>549</v>
      </c>
      <c r="F16" s="11" t="s">
        <v>520</v>
      </c>
      <c r="G16" s="11" t="s">
        <v>521</v>
      </c>
      <c r="H16" s="40" t="s">
        <v>20</v>
      </c>
      <c r="I16" s="46" t="n">
        <v>50</v>
      </c>
      <c r="J16" s="21" t="s">
        <v>762</v>
      </c>
      <c r="K16" s="21" t="s">
        <v>708</v>
      </c>
      <c r="L16" s="21" t="s">
        <v>763</v>
      </c>
    </row>
    <row r="17" customFormat="false" ht="19.5" hidden="false" customHeight="true" outlineLevel="0" collapsed="false">
      <c r="A17" s="23" t="s">
        <v>764</v>
      </c>
      <c r="B17" s="21" t="s">
        <v>765</v>
      </c>
      <c r="C17" s="21" t="s">
        <v>551</v>
      </c>
      <c r="D17" s="13" t="s">
        <v>114</v>
      </c>
      <c r="E17" s="21" t="s">
        <v>766</v>
      </c>
      <c r="F17" s="11" t="s">
        <v>520</v>
      </c>
      <c r="G17" s="11" t="s">
        <v>568</v>
      </c>
      <c r="H17" s="14" t="s">
        <v>742</v>
      </c>
      <c r="I17" s="47" t="n">
        <v>0</v>
      </c>
      <c r="J17" s="21" t="s">
        <v>767</v>
      </c>
      <c r="K17" s="21" t="s">
        <v>768</v>
      </c>
      <c r="L17" s="21" t="s">
        <v>769</v>
      </c>
    </row>
    <row r="18" customFormat="false" ht="19.5" hidden="false" customHeight="true" outlineLevel="0" collapsed="false">
      <c r="A18" s="23" t="s">
        <v>770</v>
      </c>
      <c r="B18" s="21" t="s">
        <v>771</v>
      </c>
      <c r="C18" s="21" t="s">
        <v>772</v>
      </c>
      <c r="D18" s="13" t="s">
        <v>114</v>
      </c>
      <c r="E18" s="21" t="s">
        <v>773</v>
      </c>
      <c r="F18" s="11" t="s">
        <v>520</v>
      </c>
      <c r="G18" s="11" t="s">
        <v>532</v>
      </c>
      <c r="H18" s="40" t="s">
        <v>20</v>
      </c>
      <c r="I18" s="46" t="n">
        <v>30</v>
      </c>
      <c r="J18" s="21" t="s">
        <v>774</v>
      </c>
      <c r="K18" s="21" t="s">
        <v>775</v>
      </c>
      <c r="L18" s="21" t="s">
        <v>776</v>
      </c>
    </row>
    <row r="19" customFormat="false" ht="19.5" hidden="false" customHeight="true" outlineLevel="0" collapsed="false">
      <c r="A19" s="23" t="s">
        <v>777</v>
      </c>
      <c r="B19" s="21" t="s">
        <v>778</v>
      </c>
      <c r="C19" s="21" t="s">
        <v>779</v>
      </c>
      <c r="D19" s="13" t="s">
        <v>114</v>
      </c>
      <c r="E19" s="21" t="s">
        <v>82</v>
      </c>
      <c r="F19" s="11" t="s">
        <v>520</v>
      </c>
      <c r="G19" s="11" t="s">
        <v>528</v>
      </c>
      <c r="H19" s="14" t="s">
        <v>742</v>
      </c>
      <c r="I19" s="47" t="n">
        <v>0</v>
      </c>
      <c r="J19" s="21" t="s">
        <v>780</v>
      </c>
      <c r="K19" s="21" t="s">
        <v>708</v>
      </c>
      <c r="L19" s="21" t="s">
        <v>781</v>
      </c>
    </row>
    <row r="20" customFormat="false" ht="19.5" hidden="false" customHeight="true" outlineLevel="0" collapsed="false">
      <c r="A20" s="23" t="s">
        <v>782</v>
      </c>
      <c r="B20" s="21" t="s">
        <v>783</v>
      </c>
      <c r="C20" s="21" t="s">
        <v>784</v>
      </c>
      <c r="D20" s="13" t="s">
        <v>114</v>
      </c>
      <c r="E20" s="21" t="s">
        <v>741</v>
      </c>
      <c r="F20" s="11" t="s">
        <v>520</v>
      </c>
      <c r="G20" s="11" t="s">
        <v>532</v>
      </c>
      <c r="H20" s="14" t="s">
        <v>742</v>
      </c>
      <c r="I20" s="47" t="n">
        <v>0</v>
      </c>
      <c r="J20" s="21" t="s">
        <v>785</v>
      </c>
      <c r="K20" s="21" t="s">
        <v>708</v>
      </c>
      <c r="L20" s="21" t="s">
        <v>786</v>
      </c>
    </row>
    <row r="21" customFormat="false" ht="19.5" hidden="false" customHeight="true" outlineLevel="0" collapsed="false">
      <c r="A21" s="23" t="s">
        <v>787</v>
      </c>
      <c r="B21" s="21" t="s">
        <v>788</v>
      </c>
      <c r="C21" s="21" t="s">
        <v>789</v>
      </c>
      <c r="D21" s="13" t="s">
        <v>114</v>
      </c>
      <c r="E21" s="21" t="s">
        <v>790</v>
      </c>
      <c r="F21" s="11" t="s">
        <v>520</v>
      </c>
      <c r="G21" s="11" t="s">
        <v>546</v>
      </c>
      <c r="H21" s="14" t="s">
        <v>742</v>
      </c>
      <c r="I21" s="47" t="n">
        <v>0</v>
      </c>
      <c r="J21" s="21" t="s">
        <v>791</v>
      </c>
      <c r="K21" s="21" t="s">
        <v>708</v>
      </c>
      <c r="L21" s="21" t="s">
        <v>792</v>
      </c>
    </row>
    <row r="22" customFormat="false" ht="19.5" hidden="false" customHeight="true" outlineLevel="0" collapsed="false">
      <c r="A22" s="23" t="s">
        <v>793</v>
      </c>
      <c r="B22" s="21" t="s">
        <v>794</v>
      </c>
      <c r="C22" s="21" t="s">
        <v>795</v>
      </c>
      <c r="D22" s="13" t="s">
        <v>114</v>
      </c>
      <c r="E22" s="21" t="s">
        <v>796</v>
      </c>
      <c r="F22" s="11" t="s">
        <v>520</v>
      </c>
      <c r="G22" s="11" t="s">
        <v>797</v>
      </c>
      <c r="H22" s="40" t="s">
        <v>20</v>
      </c>
      <c r="I22" s="46" t="n">
        <v>67</v>
      </c>
      <c r="J22" s="21" t="s">
        <v>798</v>
      </c>
      <c r="K22" s="21" t="s">
        <v>799</v>
      </c>
      <c r="L22" s="21" t="s">
        <v>800</v>
      </c>
    </row>
    <row r="23" customFormat="false" ht="19.5" hidden="false" customHeight="true" outlineLevel="0" collapsed="false">
      <c r="A23" s="23" t="s">
        <v>801</v>
      </c>
      <c r="B23" s="21" t="s">
        <v>802</v>
      </c>
      <c r="C23" s="21" t="s">
        <v>23</v>
      </c>
      <c r="D23" s="41" t="s">
        <v>90</v>
      </c>
      <c r="E23" s="21" t="s">
        <v>796</v>
      </c>
      <c r="F23" s="11" t="s">
        <v>520</v>
      </c>
      <c r="G23" s="11" t="s">
        <v>797</v>
      </c>
      <c r="H23" s="40" t="s">
        <v>20</v>
      </c>
      <c r="I23" s="46" t="n">
        <v>70</v>
      </c>
      <c r="J23" s="21" t="s">
        <v>803</v>
      </c>
      <c r="K23" s="21" t="s">
        <v>804</v>
      </c>
      <c r="L23" s="21" t="s">
        <v>805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14"/>
  </cols>
  <sheetData>
    <row r="1" customFormat="false" ht="31.5" hidden="false" customHeight="true" outlineLevel="0" collapsed="false">
      <c r="A1" s="48" t="s">
        <v>806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customFormat="false" ht="15" hidden="false" customHeight="true" outlineLevel="0" collapsed="false">
      <c r="A2" s="2" t="s">
        <v>807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49" t="s">
        <v>808</v>
      </c>
      <c r="B3" s="49" t="s">
        <v>809</v>
      </c>
      <c r="C3" s="49" t="s">
        <v>810</v>
      </c>
      <c r="D3" s="49" t="s">
        <v>8</v>
      </c>
      <c r="E3" s="49" t="s">
        <v>590</v>
      </c>
      <c r="F3" s="49" t="s">
        <v>811</v>
      </c>
      <c r="G3" s="49" t="s">
        <v>17</v>
      </c>
      <c r="H3" s="49" t="s">
        <v>812</v>
      </c>
      <c r="I3" s="49" t="s">
        <v>813</v>
      </c>
      <c r="J3" s="49" t="s">
        <v>814</v>
      </c>
      <c r="K3" s="49" t="s">
        <v>815</v>
      </c>
    </row>
    <row r="4" customFormat="false" ht="19.5" hidden="false" customHeight="true" outlineLevel="0" collapsed="false">
      <c r="A4" s="50" t="s">
        <v>816</v>
      </c>
      <c r="B4" s="21" t="s">
        <v>817</v>
      </c>
      <c r="C4" s="21" t="s">
        <v>818</v>
      </c>
      <c r="D4" s="21" t="s">
        <v>819</v>
      </c>
      <c r="E4" s="11" t="s">
        <v>599</v>
      </c>
      <c r="F4" s="11" t="s">
        <v>520</v>
      </c>
      <c r="G4" s="12" t="s">
        <v>707</v>
      </c>
      <c r="H4" s="11" t="n">
        <v>4</v>
      </c>
      <c r="I4" s="14" t="n">
        <v>1</v>
      </c>
      <c r="J4" s="11" t="n">
        <v>2</v>
      </c>
      <c r="K4" s="11" t="s">
        <v>820</v>
      </c>
    </row>
    <row r="5" customFormat="false" ht="19.5" hidden="false" customHeight="true" outlineLevel="0" collapsed="false">
      <c r="A5" s="50" t="s">
        <v>821</v>
      </c>
      <c r="B5" s="21" t="s">
        <v>822</v>
      </c>
      <c r="C5" s="21" t="s">
        <v>823</v>
      </c>
      <c r="D5" s="21" t="s">
        <v>824</v>
      </c>
      <c r="E5" s="11" t="s">
        <v>825</v>
      </c>
      <c r="F5" s="11" t="s">
        <v>520</v>
      </c>
      <c r="G5" s="12" t="s">
        <v>707</v>
      </c>
      <c r="H5" s="11" t="n">
        <v>7</v>
      </c>
      <c r="I5" s="14" t="n">
        <v>2</v>
      </c>
      <c r="J5" s="11" t="n">
        <v>3</v>
      </c>
      <c r="K5" s="11" t="s">
        <v>826</v>
      </c>
    </row>
    <row r="6" customFormat="false" ht="19.5" hidden="false" customHeight="true" outlineLevel="0" collapsed="false">
      <c r="A6" s="50" t="s">
        <v>827</v>
      </c>
      <c r="B6" s="21" t="s">
        <v>828</v>
      </c>
      <c r="C6" s="21" t="s">
        <v>823</v>
      </c>
      <c r="D6" s="21" t="s">
        <v>829</v>
      </c>
      <c r="E6" s="11" t="s">
        <v>830</v>
      </c>
      <c r="F6" s="11" t="s">
        <v>520</v>
      </c>
      <c r="G6" s="12" t="s">
        <v>707</v>
      </c>
      <c r="H6" s="11" t="n">
        <v>9</v>
      </c>
      <c r="I6" s="14" t="n">
        <v>3</v>
      </c>
      <c r="J6" s="11" t="n">
        <v>4</v>
      </c>
      <c r="K6" s="11" t="s">
        <v>532</v>
      </c>
    </row>
    <row r="7" customFormat="false" ht="19.5" hidden="false" customHeight="true" outlineLevel="0" collapsed="false">
      <c r="A7" s="50" t="s">
        <v>831</v>
      </c>
      <c r="B7" s="21" t="s">
        <v>832</v>
      </c>
      <c r="C7" s="21" t="s">
        <v>818</v>
      </c>
      <c r="D7" s="21" t="s">
        <v>833</v>
      </c>
      <c r="E7" s="11" t="s">
        <v>834</v>
      </c>
      <c r="F7" s="11" t="s">
        <v>520</v>
      </c>
      <c r="G7" s="12" t="s">
        <v>707</v>
      </c>
      <c r="H7" s="11" t="n">
        <v>3</v>
      </c>
      <c r="I7" s="11" t="n">
        <v>0</v>
      </c>
      <c r="J7" s="11" t="n">
        <v>2</v>
      </c>
      <c r="K7" s="11" t="s">
        <v>540</v>
      </c>
    </row>
    <row r="8" customFormat="false" ht="19.5" hidden="false" customHeight="true" outlineLevel="0" collapsed="false">
      <c r="A8" s="50" t="s">
        <v>835</v>
      </c>
      <c r="B8" s="21" t="s">
        <v>836</v>
      </c>
      <c r="C8" s="21" t="s">
        <v>837</v>
      </c>
      <c r="D8" s="21" t="s">
        <v>838</v>
      </c>
      <c r="E8" s="11" t="s">
        <v>839</v>
      </c>
      <c r="F8" s="11" t="s">
        <v>520</v>
      </c>
      <c r="G8" s="12" t="s">
        <v>707</v>
      </c>
      <c r="H8" s="11" t="n">
        <v>2</v>
      </c>
      <c r="I8" s="11" t="n">
        <v>0</v>
      </c>
      <c r="J8" s="11" t="n">
        <v>1</v>
      </c>
      <c r="K8" s="11" t="s">
        <v>546</v>
      </c>
    </row>
    <row r="9" customFormat="false" ht="19.5" hidden="false" customHeight="true" outlineLevel="0" collapsed="false">
      <c r="A9" s="50" t="s">
        <v>840</v>
      </c>
      <c r="B9" s="21" t="s">
        <v>841</v>
      </c>
      <c r="C9" s="21" t="s">
        <v>823</v>
      </c>
      <c r="D9" s="21" t="s">
        <v>842</v>
      </c>
      <c r="E9" s="11" t="s">
        <v>843</v>
      </c>
      <c r="F9" s="11" t="s">
        <v>520</v>
      </c>
      <c r="G9" s="12" t="s">
        <v>707</v>
      </c>
      <c r="H9" s="11" t="n">
        <v>3</v>
      </c>
      <c r="I9" s="14" t="n">
        <v>1</v>
      </c>
      <c r="J9" s="11" t="n">
        <v>1</v>
      </c>
      <c r="K9" s="11" t="s">
        <v>844</v>
      </c>
    </row>
    <row r="10" customFormat="false" ht="19.5" hidden="false" customHeight="true" outlineLevel="0" collapsed="false">
      <c r="A10" s="50" t="s">
        <v>719</v>
      </c>
      <c r="B10" s="21" t="s">
        <v>845</v>
      </c>
      <c r="C10" s="21" t="s">
        <v>823</v>
      </c>
      <c r="D10" s="21" t="s">
        <v>846</v>
      </c>
      <c r="E10" s="11" t="s">
        <v>847</v>
      </c>
      <c r="F10" s="11" t="s">
        <v>520</v>
      </c>
      <c r="G10" s="12" t="s">
        <v>707</v>
      </c>
      <c r="H10" s="11" t="n">
        <v>4</v>
      </c>
      <c r="I10" s="14" t="n">
        <v>1</v>
      </c>
      <c r="J10" s="11" t="n">
        <v>2</v>
      </c>
      <c r="K10" s="11" t="s">
        <v>568</v>
      </c>
    </row>
    <row r="11" customFormat="false" ht="19.5" hidden="false" customHeight="true" outlineLevel="0" collapsed="false">
      <c r="A11" s="50" t="s">
        <v>848</v>
      </c>
      <c r="B11" s="21" t="s">
        <v>849</v>
      </c>
      <c r="C11" s="21" t="s">
        <v>823</v>
      </c>
      <c r="D11" s="21" t="s">
        <v>850</v>
      </c>
      <c r="E11" s="11" t="s">
        <v>851</v>
      </c>
      <c r="F11" s="11" t="s">
        <v>520</v>
      </c>
      <c r="G11" s="12" t="s">
        <v>707</v>
      </c>
      <c r="H11" s="11" t="n">
        <v>12</v>
      </c>
      <c r="I11" s="14" t="n">
        <v>4</v>
      </c>
      <c r="J11" s="11" t="n">
        <v>5</v>
      </c>
      <c r="K11" s="11" t="s">
        <v>852</v>
      </c>
    </row>
    <row r="12" customFormat="false" ht="19.5" hidden="false" customHeight="true" outlineLevel="0" collapsed="false">
      <c r="A12" s="50" t="s">
        <v>853</v>
      </c>
      <c r="B12" s="21" t="s">
        <v>854</v>
      </c>
      <c r="C12" s="21" t="s">
        <v>837</v>
      </c>
      <c r="D12" s="21" t="s">
        <v>855</v>
      </c>
      <c r="E12" s="11" t="s">
        <v>856</v>
      </c>
      <c r="F12" s="11" t="s">
        <v>520</v>
      </c>
      <c r="G12" s="12" t="s">
        <v>707</v>
      </c>
      <c r="H12" s="11" t="n">
        <v>2</v>
      </c>
      <c r="I12" s="11" t="n">
        <v>0</v>
      </c>
      <c r="J12" s="11" t="n">
        <v>1</v>
      </c>
      <c r="K12" s="11" t="s">
        <v>857</v>
      </c>
    </row>
    <row r="13" customFormat="false" ht="19.5" hidden="false" customHeight="true" outlineLevel="0" collapsed="false">
      <c r="A13" s="50" t="s">
        <v>858</v>
      </c>
      <c r="B13" s="21" t="s">
        <v>859</v>
      </c>
      <c r="C13" s="21" t="s">
        <v>818</v>
      </c>
      <c r="D13" s="21" t="s">
        <v>850</v>
      </c>
      <c r="E13" s="11" t="s">
        <v>737</v>
      </c>
      <c r="F13" s="11" t="s">
        <v>520</v>
      </c>
      <c r="G13" s="40" t="s">
        <v>20</v>
      </c>
      <c r="H13" s="11"/>
      <c r="I13" s="11"/>
      <c r="J13" s="11"/>
      <c r="K13" s="11" t="s">
        <v>860</v>
      </c>
    </row>
    <row r="14" customFormat="false" ht="19.5" hidden="false" customHeight="true" outlineLevel="0" collapsed="false">
      <c r="A14" s="50" t="s">
        <v>861</v>
      </c>
      <c r="B14" s="21" t="s">
        <v>862</v>
      </c>
      <c r="C14" s="21" t="s">
        <v>796</v>
      </c>
      <c r="D14" s="21" t="s">
        <v>803</v>
      </c>
      <c r="E14" s="11" t="s">
        <v>521</v>
      </c>
      <c r="F14" s="11" t="s">
        <v>520</v>
      </c>
      <c r="G14" s="14" t="s">
        <v>742</v>
      </c>
      <c r="H14" s="11"/>
      <c r="I14" s="11"/>
      <c r="J14" s="11"/>
      <c r="K14" s="11" t="s">
        <v>863</v>
      </c>
    </row>
    <row r="15" customFormat="false" ht="19.5" hidden="false" customHeight="true" outlineLevel="0" collapsed="false">
      <c r="A15" s="50" t="s">
        <v>864</v>
      </c>
      <c r="B15" s="21" t="s">
        <v>865</v>
      </c>
      <c r="C15" s="21" t="s">
        <v>796</v>
      </c>
      <c r="D15" s="21" t="s">
        <v>866</v>
      </c>
      <c r="E15" s="11" t="s">
        <v>532</v>
      </c>
      <c r="F15" s="11" t="s">
        <v>520</v>
      </c>
      <c r="G15" s="14" t="s">
        <v>742</v>
      </c>
      <c r="H15" s="11"/>
      <c r="I15" s="11"/>
      <c r="J15" s="11"/>
      <c r="K15" s="11" t="s">
        <v>867</v>
      </c>
    </row>
    <row r="16" customFormat="false" ht="19.5" hidden="false" customHeight="true" outlineLevel="0" collapsed="false">
      <c r="A16" s="50" t="s">
        <v>868</v>
      </c>
      <c r="B16" s="21" t="s">
        <v>869</v>
      </c>
      <c r="C16" s="21" t="s">
        <v>823</v>
      </c>
      <c r="D16" s="21" t="s">
        <v>870</v>
      </c>
      <c r="E16" s="11" t="s">
        <v>546</v>
      </c>
      <c r="F16" s="11" t="s">
        <v>520</v>
      </c>
      <c r="G16" s="14" t="s">
        <v>742</v>
      </c>
      <c r="H16" s="11"/>
      <c r="I16" s="11"/>
      <c r="J16" s="11"/>
      <c r="K16" s="11" t="s">
        <v>871</v>
      </c>
    </row>
    <row r="17" customFormat="false" ht="19.5" hidden="false" customHeight="true" outlineLevel="0" collapsed="false">
      <c r="A17" s="50" t="s">
        <v>872</v>
      </c>
      <c r="B17" s="21" t="s">
        <v>873</v>
      </c>
      <c r="C17" s="21" t="s">
        <v>796</v>
      </c>
      <c r="D17" s="21" t="s">
        <v>874</v>
      </c>
      <c r="E17" s="11" t="s">
        <v>568</v>
      </c>
      <c r="F17" s="11" t="s">
        <v>520</v>
      </c>
      <c r="G17" s="14" t="s">
        <v>742</v>
      </c>
      <c r="H17" s="11"/>
      <c r="I17" s="11"/>
      <c r="J17" s="11"/>
      <c r="K17" s="11" t="s">
        <v>875</v>
      </c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44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51" t="s">
        <v>876</v>
      </c>
      <c r="B1" s="51"/>
      <c r="C1" s="51"/>
      <c r="D1" s="51"/>
      <c r="E1" s="51"/>
      <c r="F1" s="51"/>
      <c r="G1" s="51"/>
      <c r="H1" s="51"/>
      <c r="I1" s="51"/>
      <c r="J1" s="51"/>
    </row>
    <row r="2" customFormat="false" ht="15" hidden="false" customHeight="true" outlineLevel="0" collapsed="false">
      <c r="A2" s="2" t="s">
        <v>877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52" t="s">
        <v>878</v>
      </c>
      <c r="B3" s="52" t="s">
        <v>879</v>
      </c>
      <c r="C3" s="52" t="s">
        <v>880</v>
      </c>
      <c r="D3" s="52" t="s">
        <v>798</v>
      </c>
      <c r="E3" s="52" t="s">
        <v>21</v>
      </c>
      <c r="F3" s="52" t="s">
        <v>23</v>
      </c>
      <c r="G3" s="52" t="s">
        <v>881</v>
      </c>
      <c r="H3" s="52" t="s">
        <v>882</v>
      </c>
      <c r="I3" s="52" t="s">
        <v>883</v>
      </c>
      <c r="J3" s="52" t="s">
        <v>884</v>
      </c>
    </row>
    <row r="4" customFormat="false" ht="30" hidden="false" customHeight="true" outlineLevel="0" collapsed="false">
      <c r="A4" s="53" t="s">
        <v>885</v>
      </c>
      <c r="B4" s="21" t="s">
        <v>886</v>
      </c>
      <c r="C4" s="21" t="s">
        <v>887</v>
      </c>
      <c r="D4" s="21" t="s">
        <v>888</v>
      </c>
      <c r="E4" s="21" t="s">
        <v>889</v>
      </c>
      <c r="F4" s="21" t="s">
        <v>890</v>
      </c>
      <c r="G4" s="21" t="s">
        <v>891</v>
      </c>
      <c r="H4" s="21" t="s">
        <v>892</v>
      </c>
      <c r="I4" s="21" t="s">
        <v>893</v>
      </c>
      <c r="J4" s="40" t="s">
        <v>90</v>
      </c>
    </row>
    <row r="5" customFormat="false" ht="30" hidden="false" customHeight="true" outlineLevel="0" collapsed="false">
      <c r="A5" s="54" t="s">
        <v>894</v>
      </c>
      <c r="B5" s="21" t="s">
        <v>895</v>
      </c>
      <c r="C5" s="21" t="s">
        <v>896</v>
      </c>
      <c r="D5" s="21" t="s">
        <v>897</v>
      </c>
      <c r="E5" s="21" t="s">
        <v>898</v>
      </c>
      <c r="F5" s="21" t="s">
        <v>899</v>
      </c>
      <c r="G5" s="21" t="s">
        <v>900</v>
      </c>
      <c r="H5" s="21" t="s">
        <v>901</v>
      </c>
      <c r="I5" s="21" t="s">
        <v>902</v>
      </c>
      <c r="J5" s="40" t="s">
        <v>90</v>
      </c>
    </row>
    <row r="6" customFormat="false" ht="30" hidden="false" customHeight="true" outlineLevel="0" collapsed="false">
      <c r="A6" s="55" t="s">
        <v>903</v>
      </c>
      <c r="B6" s="21" t="s">
        <v>904</v>
      </c>
      <c r="C6" s="21" t="s">
        <v>905</v>
      </c>
      <c r="D6" s="21" t="s">
        <v>906</v>
      </c>
      <c r="E6" s="21" t="s">
        <v>907</v>
      </c>
      <c r="F6" s="21" t="s">
        <v>908</v>
      </c>
      <c r="G6" s="21" t="s">
        <v>909</v>
      </c>
      <c r="H6" s="21" t="s">
        <v>910</v>
      </c>
      <c r="I6" s="21" t="s">
        <v>911</v>
      </c>
      <c r="J6" s="12" t="s">
        <v>912</v>
      </c>
    </row>
    <row r="7" customFormat="false" ht="30" hidden="false" customHeight="true" outlineLevel="0" collapsed="false">
      <c r="A7" s="56" t="s">
        <v>913</v>
      </c>
      <c r="B7" s="21" t="s">
        <v>914</v>
      </c>
      <c r="C7" s="21" t="s">
        <v>915</v>
      </c>
      <c r="D7" s="21" t="s">
        <v>916</v>
      </c>
      <c r="E7" s="21" t="s">
        <v>917</v>
      </c>
      <c r="F7" s="21" t="s">
        <v>918</v>
      </c>
      <c r="G7" s="21" t="s">
        <v>919</v>
      </c>
      <c r="H7" s="21" t="s">
        <v>920</v>
      </c>
      <c r="I7" s="21" t="s">
        <v>921</v>
      </c>
      <c r="J7" s="40" t="s">
        <v>90</v>
      </c>
    </row>
    <row r="8" customFormat="false" ht="30" hidden="false" customHeight="true" outlineLevel="0" collapsed="false">
      <c r="A8" s="57" t="s">
        <v>922</v>
      </c>
      <c r="B8" s="21" t="s">
        <v>923</v>
      </c>
      <c r="C8" s="21" t="s">
        <v>924</v>
      </c>
      <c r="D8" s="21" t="s">
        <v>925</v>
      </c>
      <c r="E8" s="21" t="s">
        <v>926</v>
      </c>
      <c r="F8" s="21" t="s">
        <v>927</v>
      </c>
      <c r="G8" s="21" t="s">
        <v>928</v>
      </c>
      <c r="H8" s="21" t="s">
        <v>929</v>
      </c>
      <c r="I8" s="21" t="s">
        <v>930</v>
      </c>
      <c r="J8" s="12" t="s">
        <v>912</v>
      </c>
    </row>
    <row r="9" customFormat="false" ht="30" hidden="false" customHeight="true" outlineLevel="0" collapsed="false">
      <c r="A9" s="58" t="s">
        <v>931</v>
      </c>
      <c r="B9" s="21" t="s">
        <v>932</v>
      </c>
      <c r="C9" s="21" t="s">
        <v>933</v>
      </c>
      <c r="D9" s="21" t="s">
        <v>934</v>
      </c>
      <c r="E9" s="21" t="s">
        <v>935</v>
      </c>
      <c r="F9" s="21" t="s">
        <v>936</v>
      </c>
      <c r="G9" s="21" t="s">
        <v>937</v>
      </c>
      <c r="H9" s="21" t="s">
        <v>938</v>
      </c>
      <c r="I9" s="21" t="s">
        <v>939</v>
      </c>
      <c r="J9" s="40" t="s">
        <v>90</v>
      </c>
    </row>
    <row r="10" customFormat="false" ht="30" hidden="false" customHeight="true" outlineLevel="0" collapsed="false">
      <c r="A10" s="59" t="s">
        <v>940</v>
      </c>
      <c r="B10" s="21" t="s">
        <v>941</v>
      </c>
      <c r="C10" s="21" t="s">
        <v>942</v>
      </c>
      <c r="D10" s="21" t="s">
        <v>943</v>
      </c>
      <c r="E10" s="21" t="s">
        <v>944</v>
      </c>
      <c r="F10" s="21" t="s">
        <v>945</v>
      </c>
      <c r="G10" s="21" t="s">
        <v>946</v>
      </c>
      <c r="H10" s="21" t="s">
        <v>947</v>
      </c>
      <c r="I10" s="21" t="s">
        <v>948</v>
      </c>
      <c r="J10" s="12" t="s">
        <v>912</v>
      </c>
    </row>
    <row r="11" customFormat="false" ht="30" hidden="false" customHeight="true" outlineLevel="0" collapsed="false">
      <c r="A11" s="60" t="s">
        <v>949</v>
      </c>
      <c r="B11" s="21" t="s">
        <v>950</v>
      </c>
      <c r="C11" s="21" t="s">
        <v>951</v>
      </c>
      <c r="D11" s="21" t="s">
        <v>952</v>
      </c>
      <c r="E11" s="21" t="s">
        <v>953</v>
      </c>
      <c r="F11" s="21" t="s">
        <v>954</v>
      </c>
      <c r="G11" s="21" t="s">
        <v>955</v>
      </c>
      <c r="H11" s="21" t="s">
        <v>956</v>
      </c>
      <c r="I11" s="21" t="s">
        <v>957</v>
      </c>
      <c r="J11" s="12" t="s">
        <v>912</v>
      </c>
    </row>
    <row r="12" customFormat="false" ht="30" hidden="false" customHeight="true" outlineLevel="0" collapsed="false">
      <c r="A12" s="61" t="s">
        <v>958</v>
      </c>
      <c r="B12" s="21" t="s">
        <v>959</v>
      </c>
      <c r="C12" s="21" t="s">
        <v>960</v>
      </c>
      <c r="D12" s="21" t="s">
        <v>961</v>
      </c>
      <c r="E12" s="21" t="s">
        <v>962</v>
      </c>
      <c r="F12" s="21" t="s">
        <v>954</v>
      </c>
      <c r="G12" s="21" t="s">
        <v>963</v>
      </c>
      <c r="H12" s="21" t="s">
        <v>964</v>
      </c>
      <c r="I12" s="21" t="s">
        <v>965</v>
      </c>
      <c r="J12" s="12" t="s">
        <v>912</v>
      </c>
    </row>
    <row r="13" customFormat="false" ht="30" hidden="false" customHeight="true" outlineLevel="0" collapsed="false">
      <c r="A13" s="62" t="s">
        <v>966</v>
      </c>
      <c r="B13" s="21" t="s">
        <v>967</v>
      </c>
      <c r="C13" s="21" t="s">
        <v>968</v>
      </c>
      <c r="D13" s="21" t="s">
        <v>969</v>
      </c>
      <c r="E13" s="21" t="s">
        <v>970</v>
      </c>
      <c r="F13" s="21" t="s">
        <v>971</v>
      </c>
      <c r="G13" s="21" t="s">
        <v>972</v>
      </c>
      <c r="H13" s="21" t="s">
        <v>973</v>
      </c>
      <c r="I13" s="21" t="s">
        <v>974</v>
      </c>
      <c r="J13" s="12" t="s">
        <v>912</v>
      </c>
    </row>
    <row r="14" customFormat="false" ht="30" hidden="false" customHeight="true" outlineLevel="0" collapsed="false">
      <c r="A14" s="63" t="s">
        <v>975</v>
      </c>
      <c r="B14" s="21" t="s">
        <v>976</v>
      </c>
      <c r="C14" s="21" t="s">
        <v>977</v>
      </c>
      <c r="D14" s="21" t="s">
        <v>978</v>
      </c>
      <c r="E14" s="21" t="s">
        <v>979</v>
      </c>
      <c r="F14" s="21" t="s">
        <v>980</v>
      </c>
      <c r="G14" s="21" t="s">
        <v>981</v>
      </c>
      <c r="H14" s="21" t="s">
        <v>982</v>
      </c>
      <c r="I14" s="21" t="s">
        <v>983</v>
      </c>
      <c r="J14" s="12" t="s">
        <v>912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2026-06-04T03:05:37Z</dcterms:created>
  <dc:creator>openpyxl</dc:creator>
  <dc:description/>
  <dc:language>en-US</dc:language>
  <cp:lastModifiedBy/>
  <dcterms:modified xsi:type="dcterms:W3CDTF">2026-06-04T03:05:37Z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